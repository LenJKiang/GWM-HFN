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E:\Neuroimage\MyProject\GMWM_Network\"/>
    </mc:Choice>
  </mc:AlternateContent>
  <xr:revisionPtr revIDLastSave="0" documentId="13_ncr:1_{2D5A3534-7276-4F9A-BEA9-C9A6A255D727}" xr6:coauthVersionLast="36" xr6:coauthVersionMax="36" xr10:uidLastSave="{00000000-0000-0000-0000-000000000000}"/>
  <bookViews>
    <workbookView xWindow="0" yWindow="0" windowWidth="30885" windowHeight="17775" xr2:uid="{00000000-000D-0000-FFFF-FFFF00000000}"/>
  </bookViews>
  <sheets>
    <sheet name="Name" sheetId="4" r:id="rId1"/>
    <sheet name="Sheet1" sheetId="1" r:id="rId2"/>
    <sheet name="AAL90 Info" sheetId="2" r:id="rId3"/>
    <sheet name="NetInfo" sheetId="3" r:id="rId4"/>
    <sheet name="aal2.nii" sheetId="5" r:id="rId5"/>
    <sheet name="networkname" sheetId="6" r:id="rId6"/>
  </sheets>
  <definedNames>
    <definedName name="_xlnm._FilterDatabase" localSheetId="0" hidden="1">Name!$A$1:$K$1</definedName>
    <definedName name="_xlnm._FilterDatabase" localSheetId="1" hidden="1">Sheet1!$A$1:$F$91</definedName>
  </definedNames>
  <calcPr calcId="191029"/>
</workbook>
</file>

<file path=xl/calcChain.xml><?xml version="1.0" encoding="utf-8"?>
<calcChain xmlns="http://schemas.openxmlformats.org/spreadsheetml/2006/main">
  <c r="I86" i="4" l="1"/>
  <c r="I88" i="4"/>
  <c r="J73" i="4"/>
  <c r="I73" i="4" s="1"/>
  <c r="J74" i="4"/>
  <c r="I74" i="4" s="1"/>
  <c r="J75" i="4"/>
  <c r="I75" i="4" s="1"/>
  <c r="J76" i="4"/>
  <c r="I76" i="4" s="1"/>
  <c r="J77" i="4"/>
  <c r="I77" i="4" s="1"/>
  <c r="J78" i="4"/>
  <c r="I78" i="4" s="1"/>
  <c r="J79" i="4"/>
  <c r="I79" i="4" s="1"/>
  <c r="J72" i="4"/>
  <c r="I72" i="4" s="1"/>
  <c r="J3" i="4"/>
  <c r="I3" i="4" s="1"/>
  <c r="J4" i="4"/>
  <c r="I4" i="4" s="1"/>
  <c r="J5" i="4"/>
  <c r="I5" i="4" s="1"/>
  <c r="J6" i="4"/>
  <c r="I6" i="4" s="1"/>
  <c r="J7" i="4"/>
  <c r="I7" i="4" s="1"/>
  <c r="J8" i="4"/>
  <c r="I8" i="4" s="1"/>
  <c r="J9" i="4"/>
  <c r="I9" i="4" s="1"/>
  <c r="J10" i="4"/>
  <c r="I10" i="4" s="1"/>
  <c r="J11" i="4"/>
  <c r="I11" i="4" s="1"/>
  <c r="J12" i="4"/>
  <c r="I12" i="4" s="1"/>
  <c r="J13" i="4"/>
  <c r="I13" i="4" s="1"/>
  <c r="J14" i="4"/>
  <c r="I14" i="4" s="1"/>
  <c r="J15" i="4"/>
  <c r="I15" i="4" s="1"/>
  <c r="J16" i="4"/>
  <c r="I16" i="4" s="1"/>
  <c r="J17" i="4"/>
  <c r="I17" i="4" s="1"/>
  <c r="J18" i="4"/>
  <c r="I18" i="4" s="1"/>
  <c r="J19" i="4"/>
  <c r="I19" i="4" s="1"/>
  <c r="J20" i="4"/>
  <c r="I20" i="4" s="1"/>
  <c r="J21" i="4"/>
  <c r="I21" i="4" s="1"/>
  <c r="J22" i="4"/>
  <c r="I22" i="4" s="1"/>
  <c r="J23" i="4"/>
  <c r="I23" i="4" s="1"/>
  <c r="J24" i="4"/>
  <c r="I24" i="4" s="1"/>
  <c r="J25" i="4"/>
  <c r="I25" i="4" s="1"/>
  <c r="J26" i="4"/>
  <c r="I26" i="4" s="1"/>
  <c r="J27" i="4"/>
  <c r="I27" i="4" s="1"/>
  <c r="J28" i="4"/>
  <c r="I28" i="4" s="1"/>
  <c r="J29" i="4"/>
  <c r="I29" i="4" s="1"/>
  <c r="J30" i="4"/>
  <c r="I30" i="4" s="1"/>
  <c r="J31" i="4"/>
  <c r="I31" i="4" s="1"/>
  <c r="J32" i="4"/>
  <c r="I32" i="4" s="1"/>
  <c r="J33" i="4"/>
  <c r="I33" i="4" s="1"/>
  <c r="J34" i="4"/>
  <c r="I34" i="4" s="1"/>
  <c r="J35" i="4"/>
  <c r="I35" i="4" s="1"/>
  <c r="J36" i="4"/>
  <c r="I36" i="4" s="1"/>
  <c r="J37" i="4"/>
  <c r="I37" i="4" s="1"/>
  <c r="J38" i="4"/>
  <c r="I38" i="4" s="1"/>
  <c r="J39" i="4"/>
  <c r="I39" i="4" s="1"/>
  <c r="J40" i="4"/>
  <c r="I40" i="4" s="1"/>
  <c r="J41" i="4"/>
  <c r="I41" i="4" s="1"/>
  <c r="J42" i="4"/>
  <c r="I42" i="4" s="1"/>
  <c r="J43" i="4"/>
  <c r="I43" i="4" s="1"/>
  <c r="J44" i="4"/>
  <c r="I44" i="4" s="1"/>
  <c r="J45" i="4"/>
  <c r="I45" i="4" s="1"/>
  <c r="J46" i="4"/>
  <c r="I46" i="4" s="1"/>
  <c r="J47" i="4"/>
  <c r="I47" i="4" s="1"/>
  <c r="J48" i="4"/>
  <c r="I48" i="4" s="1"/>
  <c r="J49" i="4"/>
  <c r="I49" i="4" s="1"/>
  <c r="J50" i="4"/>
  <c r="I50" i="4" s="1"/>
  <c r="J51" i="4"/>
  <c r="I51" i="4" s="1"/>
  <c r="J52" i="4"/>
  <c r="I52" i="4" s="1"/>
  <c r="J53" i="4"/>
  <c r="I53" i="4" s="1"/>
  <c r="J54" i="4"/>
  <c r="I54" i="4" s="1"/>
  <c r="J55" i="4"/>
  <c r="I55" i="4" s="1"/>
  <c r="J56" i="4"/>
  <c r="I56" i="4" s="1"/>
  <c r="J57" i="4"/>
  <c r="I57" i="4" s="1"/>
  <c r="J58" i="4"/>
  <c r="I58" i="4" s="1"/>
  <c r="J59" i="4"/>
  <c r="I59" i="4" s="1"/>
  <c r="J60" i="4"/>
  <c r="I60" i="4" s="1"/>
  <c r="J61" i="4"/>
  <c r="I61" i="4" s="1"/>
  <c r="J62" i="4"/>
  <c r="I62" i="4" s="1"/>
  <c r="J63" i="4"/>
  <c r="I63" i="4" s="1"/>
  <c r="J64" i="4"/>
  <c r="I64" i="4" s="1"/>
  <c r="J65" i="4"/>
  <c r="I65" i="4" s="1"/>
  <c r="J66" i="4"/>
  <c r="I66" i="4" s="1"/>
  <c r="J67" i="4"/>
  <c r="I67" i="4" s="1"/>
  <c r="J68" i="4"/>
  <c r="I68" i="4" s="1"/>
  <c r="J69" i="4"/>
  <c r="I69" i="4" s="1"/>
  <c r="J70" i="4"/>
  <c r="I70" i="4" s="1"/>
  <c r="J71" i="4"/>
  <c r="I71" i="4" s="1"/>
  <c r="J80" i="4"/>
  <c r="I80" i="4" s="1"/>
  <c r="J81" i="4"/>
  <c r="I81" i="4" s="1"/>
  <c r="J82" i="4"/>
  <c r="I82" i="4" s="1"/>
  <c r="J83" i="4"/>
  <c r="I83" i="4" s="1"/>
  <c r="J84" i="4"/>
  <c r="I84" i="4" s="1"/>
  <c r="J85" i="4"/>
  <c r="I85" i="4" s="1"/>
  <c r="J86" i="4"/>
  <c r="J87" i="4"/>
  <c r="I87" i="4" s="1"/>
  <c r="J88" i="4"/>
  <c r="J89" i="4"/>
  <c r="I89" i="4" s="1"/>
  <c r="J90" i="4"/>
  <c r="I90" i="4" s="1"/>
  <c r="J91" i="4"/>
  <c r="I91" i="4" s="1"/>
  <c r="J2" i="4"/>
  <c r="I2" i="4" s="1"/>
  <c r="E91" i="1" l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<sst xmlns="http://schemas.openxmlformats.org/spreadsheetml/2006/main" count="1214" uniqueCount="346">
  <si>
    <t>ID</t>
  </si>
  <si>
    <t>x</t>
  </si>
  <si>
    <t>z</t>
  </si>
  <si>
    <t>Full_Name</t>
  </si>
  <si>
    <t>Abbr</t>
  </si>
  <si>
    <t>Anatomical classification</t>
  </si>
  <si>
    <t>Precentral_L</t>
  </si>
  <si>
    <t>PreCG.L</t>
  </si>
  <si>
    <t>Frontal</t>
  </si>
  <si>
    <t>Precentral_R</t>
  </si>
  <si>
    <t>PreCG.R</t>
  </si>
  <si>
    <t>Frontal_Sup_L</t>
  </si>
  <si>
    <t>SFGdor.L</t>
  </si>
  <si>
    <t>Prefontal</t>
  </si>
  <si>
    <t>Frontal_Sup_R</t>
  </si>
  <si>
    <t>SFGdor.R</t>
  </si>
  <si>
    <t>Frontal_Sup_Orb_L</t>
  </si>
  <si>
    <t>ORBsup.L</t>
  </si>
  <si>
    <t>Frontal_Sup_Orb_R</t>
  </si>
  <si>
    <t>ORBsup.R</t>
  </si>
  <si>
    <t>Frontal_Mid_L</t>
  </si>
  <si>
    <t>MFG.L</t>
  </si>
  <si>
    <t>Frontal_Mid_R</t>
  </si>
  <si>
    <t>MFG.R</t>
  </si>
  <si>
    <t>Frontal_Mid_Orb_L</t>
  </si>
  <si>
    <t>ORBmid.L</t>
  </si>
  <si>
    <t>Frontal_Mid_Orb_R</t>
  </si>
  <si>
    <t>ORBmid.R</t>
  </si>
  <si>
    <t>Frontal_Inf_Oper_L</t>
  </si>
  <si>
    <t>IFGoperc.L</t>
  </si>
  <si>
    <t>Frontal_Inf_Oper_R</t>
  </si>
  <si>
    <t>IFGoperc.R</t>
  </si>
  <si>
    <t>Frontal_Inf_Tri_L</t>
  </si>
  <si>
    <t>IFGtriang.L</t>
  </si>
  <si>
    <t>Frontal_Inf_Tri_R</t>
  </si>
  <si>
    <t>IFGtriang.R</t>
  </si>
  <si>
    <t>Frontal_Inf_Orb_L</t>
  </si>
  <si>
    <t>ORBinf.L</t>
  </si>
  <si>
    <t>Frontal_Inf_Orb_R</t>
  </si>
  <si>
    <t>ORBinf.R</t>
  </si>
  <si>
    <t>Rolandic_Oper_L</t>
  </si>
  <si>
    <t>ROL.L</t>
  </si>
  <si>
    <t>Rolandic_Oper_R</t>
  </si>
  <si>
    <t>ROL.R</t>
  </si>
  <si>
    <t>Supp_Motor_Area_L</t>
  </si>
  <si>
    <t>SMA.L</t>
  </si>
  <si>
    <t>Supp_Motor_Area_R</t>
  </si>
  <si>
    <t>SMA.R</t>
  </si>
  <si>
    <t>Olfactory_L</t>
  </si>
  <si>
    <t>OLF.L</t>
  </si>
  <si>
    <t>Olfactory_R</t>
  </si>
  <si>
    <t>OLF.R</t>
  </si>
  <si>
    <t>Frontal_Sup_Medial_L</t>
  </si>
  <si>
    <t>SFGmed.L</t>
  </si>
  <si>
    <t>Frontal_Sup_Medial_R</t>
  </si>
  <si>
    <t>SFGmed.R</t>
  </si>
  <si>
    <t>Frontal_Med_Orb_L</t>
  </si>
  <si>
    <t>ORBsupmed.L</t>
  </si>
  <si>
    <t>Frontal_Med_Orb_R</t>
  </si>
  <si>
    <t>ORBsupmed.R</t>
  </si>
  <si>
    <t>Rectus_L</t>
  </si>
  <si>
    <t>REC.L</t>
  </si>
  <si>
    <t>Rectus_R</t>
  </si>
  <si>
    <t>REC.R</t>
  </si>
  <si>
    <t>Insula_L</t>
  </si>
  <si>
    <t>INS.L</t>
  </si>
  <si>
    <t>Subcortical</t>
  </si>
  <si>
    <t>Insula_R</t>
  </si>
  <si>
    <t>INS.R</t>
  </si>
  <si>
    <t>Cingulum_Ant_L</t>
  </si>
  <si>
    <t>ACG.L</t>
  </si>
  <si>
    <t>Cingulum_Ant_R</t>
  </si>
  <si>
    <t>ACG.R</t>
  </si>
  <si>
    <t>Cingulum_Mid_L</t>
  </si>
  <si>
    <t>DCG.L</t>
  </si>
  <si>
    <t>Cingulum_Mid_R</t>
  </si>
  <si>
    <t>DCG.R</t>
  </si>
  <si>
    <t>Cingulum_Post_L</t>
  </si>
  <si>
    <t>PCG.L</t>
  </si>
  <si>
    <t>Parietal</t>
  </si>
  <si>
    <t>Cingulum_Post_R</t>
  </si>
  <si>
    <t>PCG.R</t>
  </si>
  <si>
    <t>Hippocampus_L</t>
  </si>
  <si>
    <t>HIP.L</t>
  </si>
  <si>
    <t>Temporal</t>
  </si>
  <si>
    <t>Hippocampus_R</t>
  </si>
  <si>
    <t>HIP.R</t>
  </si>
  <si>
    <t>ParaHippocampal_L</t>
  </si>
  <si>
    <t>PHG.L</t>
  </si>
  <si>
    <t>ParaHippocampal_R</t>
  </si>
  <si>
    <t>PHG.R</t>
  </si>
  <si>
    <t>Amygdala_L</t>
  </si>
  <si>
    <t>AMYG.L</t>
  </si>
  <si>
    <t>Amygdala_R</t>
  </si>
  <si>
    <t>AMYG.R</t>
  </si>
  <si>
    <t>Calcarine_L</t>
  </si>
  <si>
    <t>CAL.L</t>
  </si>
  <si>
    <t>Occipital</t>
  </si>
  <si>
    <t>Calcarine_R</t>
  </si>
  <si>
    <t>CAL.R</t>
  </si>
  <si>
    <t>Cuneus_L</t>
  </si>
  <si>
    <t>CUN.L</t>
  </si>
  <si>
    <t>Cuneus_R</t>
  </si>
  <si>
    <t>CUN.R</t>
  </si>
  <si>
    <t>Lingual_L</t>
  </si>
  <si>
    <t>LING.L</t>
  </si>
  <si>
    <t>Lingual_R</t>
  </si>
  <si>
    <t>LING.R</t>
  </si>
  <si>
    <t>Occipital_Sup_L</t>
  </si>
  <si>
    <t>SOG.L</t>
  </si>
  <si>
    <t>Occipital_Sup_R</t>
  </si>
  <si>
    <t>SOG.R</t>
  </si>
  <si>
    <t>Occipital_Mid_L</t>
  </si>
  <si>
    <t>MOG.L</t>
  </si>
  <si>
    <t>Occipital_Mid_R</t>
  </si>
  <si>
    <t>MOG.R</t>
  </si>
  <si>
    <t>Occipital_Inf_L</t>
  </si>
  <si>
    <t>IOG.L</t>
  </si>
  <si>
    <t>Occipital_Inf_R</t>
  </si>
  <si>
    <t>IOG.R</t>
  </si>
  <si>
    <t>Fusiform_L</t>
  </si>
  <si>
    <t>FFG.L</t>
  </si>
  <si>
    <t>Fusiform_R</t>
  </si>
  <si>
    <t>FFG.R</t>
  </si>
  <si>
    <t>Postcentral_L</t>
  </si>
  <si>
    <t>PoCG.L</t>
  </si>
  <si>
    <t>Postcentral_R</t>
  </si>
  <si>
    <t>PoCG.R</t>
  </si>
  <si>
    <t>Parietal_Sup_L</t>
  </si>
  <si>
    <t>SPG.L</t>
  </si>
  <si>
    <t>Parietal_Sup_R</t>
  </si>
  <si>
    <t>SPG.R</t>
  </si>
  <si>
    <t>Parietal_Inf_L</t>
  </si>
  <si>
    <t>IPL.L</t>
  </si>
  <si>
    <t>Parietal_Inf_R</t>
  </si>
  <si>
    <t>IPL.R</t>
  </si>
  <si>
    <t>SupraMarginal_L</t>
  </si>
  <si>
    <t>SMG.L</t>
  </si>
  <si>
    <t>SupraMarginal_R</t>
  </si>
  <si>
    <t>SMG.R</t>
  </si>
  <si>
    <t>Angular_L</t>
  </si>
  <si>
    <t>ANG.L</t>
  </si>
  <si>
    <t>Angular_R</t>
  </si>
  <si>
    <t>ANG.R</t>
  </si>
  <si>
    <t>Precuneus_L</t>
  </si>
  <si>
    <t>PCUN.L</t>
  </si>
  <si>
    <t>Precuneus_R</t>
  </si>
  <si>
    <t>PCUN.R</t>
  </si>
  <si>
    <t>Paracentral_Lobule_L</t>
  </si>
  <si>
    <t>PCL.L</t>
  </si>
  <si>
    <t>Paracentral_Lobule_R</t>
  </si>
  <si>
    <t>PCL.R</t>
  </si>
  <si>
    <t>Caudate_L</t>
  </si>
  <si>
    <t>CAU.L</t>
  </si>
  <si>
    <t>Caudate_R</t>
  </si>
  <si>
    <t>CAU.R</t>
  </si>
  <si>
    <t>Putamen_L</t>
  </si>
  <si>
    <t>PUT.L</t>
  </si>
  <si>
    <t>Putamen_R</t>
  </si>
  <si>
    <t>PUT.R</t>
  </si>
  <si>
    <t>Pallidum_L</t>
  </si>
  <si>
    <t>PAL.L</t>
  </si>
  <si>
    <t>Pallidum_R</t>
  </si>
  <si>
    <t>PAL.R</t>
  </si>
  <si>
    <t>Thalamus_L</t>
  </si>
  <si>
    <t>THA.L</t>
  </si>
  <si>
    <t>Thalamus_R</t>
  </si>
  <si>
    <t>THA.R</t>
  </si>
  <si>
    <t>Heschl_L</t>
  </si>
  <si>
    <t>HES.L</t>
  </si>
  <si>
    <t>Heschl_R</t>
  </si>
  <si>
    <t>HES.R</t>
  </si>
  <si>
    <t>Temporal_Sup_L</t>
  </si>
  <si>
    <t>STG.L</t>
  </si>
  <si>
    <t>Temporal_Sup_R</t>
  </si>
  <si>
    <t>STG.R</t>
  </si>
  <si>
    <t>Temporal_Pole_Sup_L</t>
  </si>
  <si>
    <t>TPOsup.L</t>
  </si>
  <si>
    <t>Temporal_Pole_Sup_R</t>
  </si>
  <si>
    <t>TPOsup.R</t>
  </si>
  <si>
    <t>Temporal_Mid_L</t>
  </si>
  <si>
    <t>MTG.L</t>
  </si>
  <si>
    <t>Temporal_Mid_R</t>
  </si>
  <si>
    <t>MTG.R</t>
  </si>
  <si>
    <t>Temporal_Pole_Mid_L</t>
  </si>
  <si>
    <t>TPOmid.L</t>
  </si>
  <si>
    <t>Temporal_Pole_Mid_R</t>
  </si>
  <si>
    <t>TPOmid.R</t>
  </si>
  <si>
    <t>Temporal_Inf_L</t>
  </si>
  <si>
    <t>ITG.L</t>
  </si>
  <si>
    <t>Temporal_Inf_R</t>
  </si>
  <si>
    <t>ITG.R</t>
  </si>
  <si>
    <t>Network</t>
  </si>
  <si>
    <t>volume-based ROI</t>
  </si>
  <si>
    <t>Labels</t>
  </si>
  <si>
    <t>Regions</t>
  </si>
  <si>
    <t>abbr.</t>
  </si>
  <si>
    <t>x(voxel)</t>
  </si>
  <si>
    <t>y(voxel)</t>
  </si>
  <si>
    <t>z(voxel)</t>
  </si>
  <si>
    <t>x(mm)</t>
  </si>
  <si>
    <t>y(mm)</t>
  </si>
  <si>
    <t>z(mm)</t>
  </si>
  <si>
    <t># of voxels within ROIs</t>
  </si>
  <si>
    <t>Functional classification</t>
  </si>
  <si>
    <t>Precental gyrus</t>
  </si>
  <si>
    <t>Primary</t>
  </si>
  <si>
    <t>Superior frontal gyrus, dorsolateral</t>
  </si>
  <si>
    <t>Association</t>
  </si>
  <si>
    <t>Heteromodal</t>
  </si>
  <si>
    <t>Superior frontal gyrus, orbital part</t>
  </si>
  <si>
    <t>Paralimbic</t>
  </si>
  <si>
    <t>Middle frontal gyrus</t>
  </si>
  <si>
    <t>Middle frontal gyrus, orbital part</t>
  </si>
  <si>
    <t>Inferior frontal gyrus, opercular part</t>
  </si>
  <si>
    <t>Inferior frontal gyrus, triangular part</t>
  </si>
  <si>
    <t>Inferior frontal gyrus, orbital part</t>
  </si>
  <si>
    <t>Rolandic operculum</t>
  </si>
  <si>
    <t>Supplementary motor area</t>
  </si>
  <si>
    <t>Unimodal</t>
  </si>
  <si>
    <t>Olfactory cortex</t>
  </si>
  <si>
    <t>Limbic</t>
  </si>
  <si>
    <t>Superior frontal gyrus, medial</t>
  </si>
  <si>
    <t>Superior frontal gyrus, medial orbital</t>
  </si>
  <si>
    <t>Gyrus rectus</t>
  </si>
  <si>
    <t>Insula</t>
  </si>
  <si>
    <t>Anterior cingulate and paracingulate gyri</t>
  </si>
  <si>
    <t>Median cingulate and paracingulate gyri</t>
  </si>
  <si>
    <t>Posterior cingulate gyrus</t>
  </si>
  <si>
    <t>Hippocampus</t>
  </si>
  <si>
    <t>Parahippocampal gyrus</t>
  </si>
  <si>
    <t>Amygdala</t>
  </si>
  <si>
    <t>Calcarine fissure and surrounding cortex</t>
  </si>
  <si>
    <t>Cuneus</t>
  </si>
  <si>
    <t>Lingual gyrus</t>
  </si>
  <si>
    <t>Superior occipital gyrus</t>
  </si>
  <si>
    <t>Middle occipital gyrus</t>
  </si>
  <si>
    <t>Inferior occipital gyrus</t>
  </si>
  <si>
    <t>Fusiform gyrus</t>
  </si>
  <si>
    <t>Postcentral gyrus</t>
  </si>
  <si>
    <t>Superior parietal gyrus</t>
  </si>
  <si>
    <t>Inferior parietal, but supramarginal and angular gyri</t>
  </si>
  <si>
    <t>Supramarginal gyrus</t>
  </si>
  <si>
    <t>Angular gyrus</t>
  </si>
  <si>
    <t>Precuneus</t>
  </si>
  <si>
    <t>Paracentral lobule</t>
  </si>
  <si>
    <t>Caudate nucleus</t>
  </si>
  <si>
    <t>Lenticular nucleus, putamen</t>
  </si>
  <si>
    <t>Lenticular nucleus, pallidum</t>
  </si>
  <si>
    <t>Thalamus</t>
  </si>
  <si>
    <t>Heschl gyrus</t>
  </si>
  <si>
    <t>Superior temporal gyrus</t>
  </si>
  <si>
    <t>Temporal pole: superior temporal gyrus</t>
  </si>
  <si>
    <t>Middle temporal gyrus</t>
  </si>
  <si>
    <t>Temporal pole: middle temporal gyrus</t>
  </si>
  <si>
    <t>Inferior temporal gyrus</t>
  </si>
  <si>
    <t>Supekar et al., 2009, PLoSB</t>
  </si>
  <si>
    <t>Wang et al.,2007, HBM &amp; Bai et al., 2011, BBR</t>
  </si>
  <si>
    <t>Primary (8)</t>
  </si>
  <si>
    <t>Frontal (32)</t>
  </si>
  <si>
    <t>Association (44)</t>
  </si>
  <si>
    <t>Temporal (20)</t>
  </si>
  <si>
    <t>Paralimbic (24)</t>
  </si>
  <si>
    <t>Parietal (16)</t>
  </si>
  <si>
    <t>Limbic (4)</t>
  </si>
  <si>
    <t>Occipital (12)</t>
  </si>
  <si>
    <t>Subcortical (10)</t>
  </si>
  <si>
    <t>subcortical (10)</t>
  </si>
  <si>
    <t>NetworkID</t>
  </si>
  <si>
    <t>AN</t>
  </si>
  <si>
    <t>CEN</t>
  </si>
  <si>
    <t>CN</t>
  </si>
  <si>
    <t>DAN</t>
  </si>
  <si>
    <t>DMN</t>
  </si>
  <si>
    <t>SMN</t>
  </si>
  <si>
    <t>SRN</t>
  </si>
  <si>
    <t>VN</t>
  </si>
  <si>
    <t>YeoNet</t>
    <phoneticPr fontId="9" type="noConversion"/>
  </si>
  <si>
    <t>Frontal_Sup_2_L</t>
  </si>
  <si>
    <t>Frontal_Sup_2_R</t>
  </si>
  <si>
    <t>Frontal_Mid_2_L</t>
  </si>
  <si>
    <t>Frontal_Mid_2_R</t>
  </si>
  <si>
    <t>Frontal_Inf_Orb_2_L</t>
  </si>
  <si>
    <t>Frontal_Inf_Orb_2_R</t>
  </si>
  <si>
    <t>Rectus_R</t>
    <phoneticPr fontId="9" type="noConversion"/>
  </si>
  <si>
    <t>OFCmed_L</t>
  </si>
  <si>
    <t>OFCmed_R</t>
  </si>
  <si>
    <t>OFCant_L</t>
  </si>
  <si>
    <t>OFCant_R</t>
  </si>
  <si>
    <t>OFCpost_L</t>
  </si>
  <si>
    <t>OFCpost_R</t>
  </si>
  <si>
    <t>OFClat_L</t>
  </si>
  <si>
    <t>OFClat_R</t>
  </si>
  <si>
    <t>Cingulate_Ant_L</t>
  </si>
  <si>
    <t>Cingulate_Ant_R</t>
  </si>
  <si>
    <t>Cingulate_Mid_L</t>
  </si>
  <si>
    <t>Cingulate_Mid_R</t>
  </si>
  <si>
    <t>Cingulate_Post_L</t>
  </si>
  <si>
    <t>Cingulate_Post_R</t>
  </si>
  <si>
    <t>Calcarine_L</t>
    <phoneticPr fontId="9" type="noConversion"/>
  </si>
  <si>
    <t>Caudate_L</t>
    <phoneticPr fontId="9" type="noConversion"/>
  </si>
  <si>
    <t>Heschl_L</t>
    <phoneticPr fontId="9" type="noConversion"/>
  </si>
  <si>
    <t>Cerebelum_Crus1_L</t>
  </si>
  <si>
    <t>Cerebelum_Crus1_R</t>
  </si>
  <si>
    <t>Cerebelum_Crus2_L</t>
  </si>
  <si>
    <t>Cerebelum_Crus2_R</t>
  </si>
  <si>
    <t>Cerebelum_3_L</t>
  </si>
  <si>
    <t>Cerebelum_3_R</t>
  </si>
  <si>
    <t>Cerebelum_4_5_L</t>
  </si>
  <si>
    <t>Cerebelum_4_5_R</t>
  </si>
  <si>
    <t>Cerebelum_6_L</t>
  </si>
  <si>
    <t>Cerebelum_6_R</t>
  </si>
  <si>
    <t>Cerebelum_7b_L</t>
  </si>
  <si>
    <t>Cerebelum_7b_R</t>
  </si>
  <si>
    <t>Cerebelum_8_L</t>
  </si>
  <si>
    <t>Cerebelum_8_R</t>
  </si>
  <si>
    <t>Cerebelum_9_L</t>
  </si>
  <si>
    <t>Cerebelum_9_R</t>
  </si>
  <si>
    <t>Cerebelum_10_L</t>
  </si>
  <si>
    <t>Cerebelum_10_R</t>
  </si>
  <si>
    <t>Vermis_1_2</t>
  </si>
  <si>
    <t>Vermis_3</t>
  </si>
  <si>
    <t>Vermis_4_5</t>
  </si>
  <si>
    <t>Vermis_6</t>
  </si>
  <si>
    <t>Vermis_7</t>
  </si>
  <si>
    <t>Vermis_8</t>
  </si>
  <si>
    <t>Vermis_9</t>
  </si>
  <si>
    <t>Vermis_10</t>
  </si>
  <si>
    <t>视觉网络</t>
    <phoneticPr fontId="9" type="noConversion"/>
  </si>
  <si>
    <t>感觉运动网络</t>
    <phoneticPr fontId="9" type="noConversion"/>
  </si>
  <si>
    <t>背侧注意网络</t>
    <phoneticPr fontId="9" type="noConversion"/>
  </si>
  <si>
    <t>腹侧注意网络</t>
    <phoneticPr fontId="9" type="noConversion"/>
  </si>
  <si>
    <t>边缘网络</t>
    <phoneticPr fontId="9" type="noConversion"/>
  </si>
  <si>
    <t>额顶网络</t>
    <phoneticPr fontId="9" type="noConversion"/>
  </si>
  <si>
    <t>默认网络</t>
    <phoneticPr fontId="9" type="noConversion"/>
  </si>
  <si>
    <t>下皮层网络</t>
    <phoneticPr fontId="9" type="noConversion"/>
  </si>
  <si>
    <t>小脑网络</t>
    <phoneticPr fontId="9" type="noConversion"/>
  </si>
  <si>
    <t>Temporal_Inf_R</t>
    <phoneticPr fontId="9" type="noConversion"/>
  </si>
  <si>
    <t>Subcortical</t>
    <phoneticPr fontId="9" type="noConversion"/>
  </si>
  <si>
    <t>Calcarine_L</t>
    <phoneticPr fontId="9" type="noConversion"/>
  </si>
  <si>
    <t>基底节网络</t>
    <phoneticPr fontId="9" type="noConversion"/>
  </si>
  <si>
    <t>Yeo_Name_CN</t>
    <phoneticPr fontId="9" type="noConversion"/>
  </si>
  <si>
    <t>Yeo_Name_EN</t>
    <phoneticPr fontId="9" type="noConversion"/>
  </si>
  <si>
    <t>Yeo_Combined_AN</t>
    <phoneticPr fontId="9" type="noConversion"/>
  </si>
  <si>
    <t>y</t>
    <phoneticPr fontId="9" type="noConversion"/>
  </si>
  <si>
    <t>可合并为AN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</si>
</sst>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0" x14ac:knownFonts="1">
    <font>
      <sz val="11"/>
      <color theme="1"/>
      <name val="等线"/>
      <charset val="134"/>
      <scheme val="minor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宋体"/>
      <family val="3"/>
      <charset val="134"/>
    </font>
    <font>
      <b/>
      <sz val="8"/>
      <name val="Arial"/>
      <family val="2"/>
    </font>
    <font>
      <sz val="12"/>
      <name val="宋体"/>
      <family val="3"/>
      <charset val="134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0" fontId="2" fillId="0" borderId="0" xfId="1" applyFont="1" applyFill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5" fillId="0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6" fillId="0" borderId="0" xfId="1" applyAlignment="1">
      <alignment vertical="center"/>
    </xf>
    <xf numFmtId="0" fontId="4" fillId="0" borderId="0" xfId="1" applyFont="1" applyAlignment="1">
      <alignment vertical="center" wrapText="1"/>
    </xf>
    <xf numFmtId="177" fontId="7" fillId="0" borderId="0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2">
      <alignment vertical="center"/>
    </xf>
    <xf numFmtId="0" fontId="8" fillId="0" borderId="0" xfId="2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1" applyFont="1" applyFill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Fill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3" xfId="2" xr:uid="{D7A0005E-37D5-45C2-BD19-9BA54EE10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K91"/>
  <sheetViews>
    <sheetView tabSelected="1" topLeftCell="A64" workbookViewId="0">
      <selection activeCell="H6" sqref="H6"/>
    </sheetView>
  </sheetViews>
  <sheetFormatPr defaultColWidth="9" defaultRowHeight="14.25" x14ac:dyDescent="0.2"/>
  <cols>
    <col min="5" max="5" width="21.25" customWidth="1"/>
    <col min="7" max="7" width="28.875" customWidth="1"/>
    <col min="8" max="8" width="13.75" customWidth="1"/>
    <col min="9" max="9" width="14.625" customWidth="1"/>
    <col min="10" max="10" width="16.75" customWidth="1"/>
    <col min="11" max="11" width="14.875" customWidth="1"/>
  </cols>
  <sheetData>
    <row r="1" spans="1:11" x14ac:dyDescent="0.2">
      <c r="A1" t="s">
        <v>0</v>
      </c>
      <c r="B1" t="s">
        <v>1</v>
      </c>
      <c r="C1" s="19" t="s">
        <v>344</v>
      </c>
      <c r="D1" t="s">
        <v>2</v>
      </c>
      <c r="E1" t="s">
        <v>3</v>
      </c>
      <c r="F1" t="s">
        <v>4</v>
      </c>
      <c r="G1" s="6" t="s">
        <v>5</v>
      </c>
      <c r="H1" s="19" t="s">
        <v>277</v>
      </c>
      <c r="I1" s="19" t="s">
        <v>342</v>
      </c>
      <c r="J1" s="19" t="s">
        <v>341</v>
      </c>
      <c r="K1" s="19" t="s">
        <v>343</v>
      </c>
    </row>
    <row r="2" spans="1:11" x14ac:dyDescent="0.2">
      <c r="A2">
        <v>1</v>
      </c>
      <c r="B2" s="18">
        <v>-38.6495999999999</v>
      </c>
      <c r="C2" s="18">
        <v>-5.6833</v>
      </c>
      <c r="D2" s="18">
        <v>50.944199999999903</v>
      </c>
      <c r="E2" s="4" t="s">
        <v>6</v>
      </c>
      <c r="F2" s="4" t="s">
        <v>7</v>
      </c>
      <c r="G2" s="11" t="s">
        <v>8</v>
      </c>
      <c r="H2">
        <v>2</v>
      </c>
      <c r="I2" t="str">
        <f>IF(J2="视觉网络", "Visual Network",
    IF(J2="感觉运动网络", "Sensorimotor Network",
    IF(J2="背侧注意网络", "Dorsal Attention Network",
    IF(J2="腹侧注意网络", "Ventral Attention Network",
    IF(J2="边缘网络", "Limbic Network",
    IF(J2="额顶网络", "Frontoparietal Network",
    IF(J2="默认网络", "Default Mode Network",
    IF(J2="基底节网络", "Basal Ganglia Network", ""))))))))</f>
        <v>Sensorimotor Network</v>
      </c>
      <c r="J2" t="str">
        <f>IF(H2=1, "视觉网络", IF(H2=2, "感觉运动网络", IF(H2=3, "背侧注意网络", IF(H2=4, "腹侧注意网络", IF(H2=5, "边缘网络", IF(H2=6, "额顶网络", IF(H2=7, "默认网络", IF(H2=8, "下皮层网络", ""))))))))</f>
        <v>感觉运动网络</v>
      </c>
      <c r="K2">
        <v>2</v>
      </c>
    </row>
    <row r="3" spans="1:11" x14ac:dyDescent="0.2">
      <c r="A3">
        <v>2</v>
      </c>
      <c r="B3" s="18">
        <v>41.374599999999901</v>
      </c>
      <c r="C3" s="18">
        <v>-8.2130999999999901</v>
      </c>
      <c r="D3" s="18">
        <v>52.091999999999899</v>
      </c>
      <c r="E3" s="4" t="s">
        <v>9</v>
      </c>
      <c r="F3" s="4" t="s">
        <v>10</v>
      </c>
      <c r="G3" s="11" t="s">
        <v>8</v>
      </c>
      <c r="H3">
        <v>2</v>
      </c>
      <c r="I3" t="str">
        <f>IF(J3="视觉网络", "Visual Network",
    IF(J3="感觉运动网络", "Sensorimotor Network",
    IF(J3="背侧注意网络", "Dorsal Attention Network",
    IF(J3="腹侧注意网络", "Ventral Attention Network",
    IF(J3="边缘网络", "Limbic Network",
    IF(J3="额顶网络", "Frontoparietal Network",
    IF(J3="默认网络", "Default Mode Network",
    IF(J3="基底节网络", "Basal Ganglia Network", ""))))))))</f>
        <v>Sensorimotor Network</v>
      </c>
      <c r="J3" t="str">
        <f>IF(H3=1, "视觉网络", IF(H3=2, "感觉运动网络", IF(H3=3, "背侧注意网络", IF(H3=4, "腹侧注意网络", IF(H3=5, "边缘网络", IF(H3=6, "额顶网络", IF(H3=7, "默认网络", IF(H3=8, "下皮层网络", ""))))))))</f>
        <v>感觉运动网络</v>
      </c>
      <c r="K3">
        <v>2</v>
      </c>
    </row>
    <row r="4" spans="1:11" x14ac:dyDescent="0.2">
      <c r="A4">
        <v>3</v>
      </c>
      <c r="B4" s="18">
        <v>-18.445699999999999</v>
      </c>
      <c r="C4" s="18">
        <v>34.808099999999897</v>
      </c>
      <c r="D4" s="18">
        <v>42.201700000000002</v>
      </c>
      <c r="E4" s="4" t="s">
        <v>11</v>
      </c>
      <c r="F4" s="4" t="s">
        <v>12</v>
      </c>
      <c r="G4" s="11" t="s">
        <v>13</v>
      </c>
      <c r="H4">
        <v>3</v>
      </c>
      <c r="I4" t="str">
        <f>IF(J4="视觉网络", "Visual Network",
    IF(J4="感觉运动网络", "Sensorimotor Network",
    IF(J4="背侧注意网络", "Dorsal Attention Network",
    IF(J4="腹侧注意网络", "Ventral Attention Network",
    IF(J4="边缘网络", "Limbic Network",
    IF(J4="额顶网络", "Frontoparietal Network",
    IF(J4="默认网络", "Default Mode Network",
    IF(J4="基底节网络", "Basal Ganglia Network", ""))))))))</f>
        <v>Dorsal Attention Network</v>
      </c>
      <c r="J4" t="str">
        <f>IF(H4=1, "视觉网络", IF(H4=2, "感觉运动网络", IF(H4=3, "背侧注意网络", IF(H4=4, "腹侧注意网络", IF(H4=5, "边缘网络", IF(H4=6, "额顶网络", IF(H4=7, "默认网络", IF(H4=8, "下皮层网络", ""))))))))</f>
        <v>背侧注意网络</v>
      </c>
      <c r="K4">
        <v>3</v>
      </c>
    </row>
    <row r="5" spans="1:11" x14ac:dyDescent="0.2">
      <c r="A5">
        <v>4</v>
      </c>
      <c r="B5" s="18">
        <v>21.8996999999999</v>
      </c>
      <c r="C5" s="18">
        <v>31.120100000000001</v>
      </c>
      <c r="D5" s="18">
        <v>43.815399999999897</v>
      </c>
      <c r="E5" s="4" t="s">
        <v>14</v>
      </c>
      <c r="F5" s="4" t="s">
        <v>15</v>
      </c>
      <c r="G5" s="11" t="s">
        <v>13</v>
      </c>
      <c r="H5">
        <v>3</v>
      </c>
      <c r="I5" t="str">
        <f>IF(J5="视觉网络", "Visual Network",
    IF(J5="感觉运动网络", "Sensorimotor Network",
    IF(J5="背侧注意网络", "Dorsal Attention Network",
    IF(J5="腹侧注意网络", "Ventral Attention Network",
    IF(J5="边缘网络", "Limbic Network",
    IF(J5="额顶网络", "Frontoparietal Network",
    IF(J5="默认网络", "Default Mode Network",
    IF(J5="基底节网络", "Basal Ganglia Network", ""))))))))</f>
        <v>Dorsal Attention Network</v>
      </c>
      <c r="J5" t="str">
        <f>IF(H5=1, "视觉网络", IF(H5=2, "感觉运动网络", IF(H5=3, "背侧注意网络", IF(H5=4, "腹侧注意网络", IF(H5=5, "边缘网络", IF(H5=6, "额顶网络", IF(H5=7, "默认网络", IF(H5=8, "下皮层网络", ""))))))))</f>
        <v>背侧注意网络</v>
      </c>
      <c r="K5">
        <v>3</v>
      </c>
    </row>
    <row r="6" spans="1:11" x14ac:dyDescent="0.2">
      <c r="A6">
        <v>5</v>
      </c>
      <c r="B6" s="18">
        <v>-16.560400000000001</v>
      </c>
      <c r="C6" s="18">
        <v>47.3247</v>
      </c>
      <c r="D6" s="18">
        <v>-13.306800000000001</v>
      </c>
      <c r="E6" s="4" t="s">
        <v>16</v>
      </c>
      <c r="F6" s="4" t="s">
        <v>17</v>
      </c>
      <c r="G6" s="11" t="s">
        <v>13</v>
      </c>
      <c r="H6">
        <v>5</v>
      </c>
      <c r="I6" t="str">
        <f>IF(J6="视觉网络", "Visual Network",
    IF(J6="感觉运动网络", "Sensorimotor Network",
    IF(J6="背侧注意网络", "Dorsal Attention Network",
    IF(J6="腹侧注意网络", "Ventral Attention Network",
    IF(J6="边缘网络", "Limbic Network",
    IF(J6="额顶网络", "Frontoparietal Network",
    IF(J6="默认网络", "Default Mode Network",
    IF(J6="基底节网络", "Basal Ganglia Network", ""))))))))</f>
        <v>Limbic Network</v>
      </c>
      <c r="J6" t="str">
        <f>IF(H6=1, "视觉网络", IF(H6=2, "感觉运动网络", IF(H6=3, "背侧注意网络", IF(H6=4, "腹侧注意网络", IF(H6=5, "边缘网络", IF(H6=6, "额顶网络", IF(H6=7, "默认网络", IF(H6=8, "下皮层网络", ""))))))))</f>
        <v>边缘网络</v>
      </c>
      <c r="K6">
        <v>4</v>
      </c>
    </row>
    <row r="7" spans="1:11" x14ac:dyDescent="0.2">
      <c r="A7">
        <v>6</v>
      </c>
      <c r="B7" s="18">
        <v>18.494699999999899</v>
      </c>
      <c r="C7" s="18">
        <v>48.097999999999999</v>
      </c>
      <c r="D7" s="18">
        <v>-14.0200999999999</v>
      </c>
      <c r="E7" s="4" t="s">
        <v>18</v>
      </c>
      <c r="F7" s="4" t="s">
        <v>19</v>
      </c>
      <c r="G7" s="11" t="s">
        <v>13</v>
      </c>
      <c r="H7">
        <v>5</v>
      </c>
      <c r="I7" t="str">
        <f>IF(J7="视觉网络", "Visual Network",
    IF(J7="感觉运动网络", "Sensorimotor Network",
    IF(J7="背侧注意网络", "Dorsal Attention Network",
    IF(J7="腹侧注意网络", "Ventral Attention Network",
    IF(J7="边缘网络", "Limbic Network",
    IF(J7="额顶网络", "Frontoparietal Network",
    IF(J7="默认网络", "Default Mode Network",
    IF(J7="基底节网络", "Basal Ganglia Network", ""))))))))</f>
        <v>Limbic Network</v>
      </c>
      <c r="J7" t="str">
        <f>IF(H7=1, "视觉网络", IF(H7=2, "感觉运动网络", IF(H7=3, "背侧注意网络", IF(H7=4, "腹侧注意网络", IF(H7=5, "边缘网络", IF(H7=6, "额顶网络", IF(H7=7, "默认网络", IF(H7=8, "下皮层网络", ""))))))))</f>
        <v>边缘网络</v>
      </c>
      <c r="K7">
        <v>4</v>
      </c>
    </row>
    <row r="8" spans="1:11" x14ac:dyDescent="0.2">
      <c r="A8">
        <v>7</v>
      </c>
      <c r="B8" s="18">
        <v>-33.431800000000003</v>
      </c>
      <c r="C8" s="18">
        <v>32.7317999999999</v>
      </c>
      <c r="D8" s="18">
        <v>35.455599999999997</v>
      </c>
      <c r="E8" s="4" t="s">
        <v>20</v>
      </c>
      <c r="F8" s="4" t="s">
        <v>21</v>
      </c>
      <c r="G8" s="11" t="s">
        <v>13</v>
      </c>
      <c r="H8">
        <v>6</v>
      </c>
      <c r="I8" t="str">
        <f>IF(J8="视觉网络", "Visual Network",
    IF(J8="感觉运动网络", "Sensorimotor Network",
    IF(J8="背侧注意网络", "Dorsal Attention Network",
    IF(J8="腹侧注意网络", "Ventral Attention Network",
    IF(J8="边缘网络", "Limbic Network",
    IF(J8="额顶网络", "Frontoparietal Network",
    IF(J8="默认网络", "Default Mode Network",
    IF(J8="基底节网络", "Basal Ganglia Network", ""))))))))</f>
        <v>Frontoparietal Network</v>
      </c>
      <c r="J8" t="str">
        <f>IF(H8=1, "视觉网络", IF(H8=2, "感觉运动网络", IF(H8=3, "背侧注意网络", IF(H8=4, "腹侧注意网络", IF(H8=5, "边缘网络", IF(H8=6, "额顶网络", IF(H8=7, "默认网络", IF(H8=8, "下皮层网络", ""))))))))</f>
        <v>额顶网络</v>
      </c>
      <c r="K8">
        <v>5</v>
      </c>
    </row>
    <row r="9" spans="1:11" x14ac:dyDescent="0.2">
      <c r="A9">
        <v>8</v>
      </c>
      <c r="B9" s="18">
        <v>37.594799999999999</v>
      </c>
      <c r="C9" s="18">
        <v>33.061900000000001</v>
      </c>
      <c r="D9" s="18">
        <v>34.0350999999999</v>
      </c>
      <c r="E9" s="4" t="s">
        <v>22</v>
      </c>
      <c r="F9" s="4" t="s">
        <v>23</v>
      </c>
      <c r="G9" s="11" t="s">
        <v>13</v>
      </c>
      <c r="H9">
        <v>6</v>
      </c>
      <c r="I9" t="str">
        <f>IF(J9="视觉网络", "Visual Network",
    IF(J9="感觉运动网络", "Sensorimotor Network",
    IF(J9="背侧注意网络", "Dorsal Attention Network",
    IF(J9="腹侧注意网络", "Ventral Attention Network",
    IF(J9="边缘网络", "Limbic Network",
    IF(J9="额顶网络", "Frontoparietal Network",
    IF(J9="默认网络", "Default Mode Network",
    IF(J9="基底节网络", "Basal Ganglia Network", ""))))))))</f>
        <v>Frontoparietal Network</v>
      </c>
      <c r="J9" t="str">
        <f>IF(H9=1, "视觉网络", IF(H9=2, "感觉运动网络", IF(H9=3, "背侧注意网络", IF(H9=4, "腹侧注意网络", IF(H9=5, "边缘网络", IF(H9=6, "额顶网络", IF(H9=7, "默认网络", IF(H9=8, "下皮层网络", ""))))))))</f>
        <v>额顶网络</v>
      </c>
      <c r="K9">
        <v>5</v>
      </c>
    </row>
    <row r="10" spans="1:11" x14ac:dyDescent="0.2">
      <c r="A10">
        <v>9</v>
      </c>
      <c r="B10" s="18">
        <v>-30.645699999999898</v>
      </c>
      <c r="C10" s="18">
        <v>50.429699999999897</v>
      </c>
      <c r="D10" s="18">
        <v>-9.6189999999999891</v>
      </c>
      <c r="E10" s="4" t="s">
        <v>24</v>
      </c>
      <c r="F10" s="4" t="s">
        <v>25</v>
      </c>
      <c r="G10" s="11" t="s">
        <v>13</v>
      </c>
      <c r="H10">
        <v>6</v>
      </c>
      <c r="I10" t="str">
        <f>IF(J10="视觉网络", "Visual Network",
    IF(J10="感觉运动网络", "Sensorimotor Network",
    IF(J10="背侧注意网络", "Dorsal Attention Network",
    IF(J10="腹侧注意网络", "Ventral Attention Network",
    IF(J10="边缘网络", "Limbic Network",
    IF(J10="额顶网络", "Frontoparietal Network",
    IF(J10="默认网络", "Default Mode Network",
    IF(J10="基底节网络", "Basal Ganglia Network", ""))))))))</f>
        <v>Frontoparietal Network</v>
      </c>
      <c r="J10" t="str">
        <f>IF(H10=1, "视觉网络", IF(H10=2, "感觉运动网络", IF(H10=3, "背侧注意网络", IF(H10=4, "腹侧注意网络", IF(H10=5, "边缘网络", IF(H10=6, "额顶网络", IF(H10=7, "默认网络", IF(H10=8, "下皮层网络", ""))))))))</f>
        <v>额顶网络</v>
      </c>
      <c r="K10">
        <v>5</v>
      </c>
    </row>
    <row r="11" spans="1:11" x14ac:dyDescent="0.2">
      <c r="A11">
        <v>10</v>
      </c>
      <c r="B11" s="18">
        <v>33.181699999999999</v>
      </c>
      <c r="C11" s="18">
        <v>52.587899999999898</v>
      </c>
      <c r="D11" s="18">
        <v>-10.731199999999999</v>
      </c>
      <c r="E11" s="4" t="s">
        <v>26</v>
      </c>
      <c r="F11" s="4" t="s">
        <v>27</v>
      </c>
      <c r="G11" s="11" t="s">
        <v>13</v>
      </c>
      <c r="H11">
        <v>6</v>
      </c>
      <c r="I11" t="str">
        <f>IF(J11="视觉网络", "Visual Network",
    IF(J11="感觉运动网络", "Sensorimotor Network",
    IF(J11="背侧注意网络", "Dorsal Attention Network",
    IF(J11="腹侧注意网络", "Ventral Attention Network",
    IF(J11="边缘网络", "Limbic Network",
    IF(J11="额顶网络", "Frontoparietal Network",
    IF(J11="默认网络", "Default Mode Network",
    IF(J11="基底节网络", "Basal Ganglia Network", ""))))))))</f>
        <v>Frontoparietal Network</v>
      </c>
      <c r="J11" t="str">
        <f>IF(H11=1, "视觉网络", IF(H11=2, "感觉运动网络", IF(H11=3, "背侧注意网络", IF(H11=4, "腹侧注意网络", IF(H11=5, "边缘网络", IF(H11=6, "额顶网络", IF(H11=7, "默认网络", IF(H11=8, "下皮层网络", ""))))))))</f>
        <v>额顶网络</v>
      </c>
      <c r="K11">
        <v>5</v>
      </c>
    </row>
    <row r="12" spans="1:11" x14ac:dyDescent="0.2">
      <c r="A12">
        <v>11</v>
      </c>
      <c r="B12" s="18">
        <v>-48.433799999999898</v>
      </c>
      <c r="C12" s="18">
        <v>12.7333</v>
      </c>
      <c r="D12" s="18">
        <v>19.022499999999901</v>
      </c>
      <c r="E12" s="4" t="s">
        <v>28</v>
      </c>
      <c r="F12" s="4" t="s">
        <v>29</v>
      </c>
      <c r="G12" s="11" t="s">
        <v>13</v>
      </c>
      <c r="H12">
        <v>6</v>
      </c>
      <c r="I12" t="str">
        <f>IF(J12="视觉网络", "Visual Network",
    IF(J12="感觉运动网络", "Sensorimotor Network",
    IF(J12="背侧注意网络", "Dorsal Attention Network",
    IF(J12="腹侧注意网络", "Ventral Attention Network",
    IF(J12="边缘网络", "Limbic Network",
    IF(J12="额顶网络", "Frontoparietal Network",
    IF(J12="默认网络", "Default Mode Network",
    IF(J12="基底节网络", "Basal Ganglia Network", ""))))))))</f>
        <v>Frontoparietal Network</v>
      </c>
      <c r="J12" t="str">
        <f>IF(H12=1, "视觉网络", IF(H12=2, "感觉运动网络", IF(H12=3, "背侧注意网络", IF(H12=4, "腹侧注意网络", IF(H12=5, "边缘网络", IF(H12=6, "额顶网络", IF(H12=7, "默认网络", IF(H12=8, "下皮层网络", ""))))))))</f>
        <v>额顶网络</v>
      </c>
      <c r="K12">
        <v>5</v>
      </c>
    </row>
    <row r="13" spans="1:11" x14ac:dyDescent="0.2">
      <c r="A13">
        <v>12</v>
      </c>
      <c r="B13" s="18">
        <v>50.204000000000001</v>
      </c>
      <c r="C13" s="18">
        <v>14.9764999999999</v>
      </c>
      <c r="D13" s="18">
        <v>21.4117999999999</v>
      </c>
      <c r="E13" s="4" t="s">
        <v>30</v>
      </c>
      <c r="F13" s="4" t="s">
        <v>31</v>
      </c>
      <c r="G13" s="11" t="s">
        <v>13</v>
      </c>
      <c r="H13">
        <v>6</v>
      </c>
      <c r="I13" t="str">
        <f>IF(J13="视觉网络", "Visual Network",
    IF(J13="感觉运动网络", "Sensorimotor Network",
    IF(J13="背侧注意网络", "Dorsal Attention Network",
    IF(J13="腹侧注意网络", "Ventral Attention Network",
    IF(J13="边缘网络", "Limbic Network",
    IF(J13="额顶网络", "Frontoparietal Network",
    IF(J13="默认网络", "Default Mode Network",
    IF(J13="基底节网络", "Basal Ganglia Network", ""))))))))</f>
        <v>Frontoparietal Network</v>
      </c>
      <c r="J13" t="str">
        <f>IF(H13=1, "视觉网络", IF(H13=2, "感觉运动网络", IF(H13=3, "背侧注意网络", IF(H13=4, "腹侧注意网络", IF(H13=5, "边缘网络", IF(H13=6, "额顶网络", IF(H13=7, "默认网络", IF(H13=8, "下皮层网络", ""))))))))</f>
        <v>额顶网络</v>
      </c>
      <c r="K13">
        <v>5</v>
      </c>
    </row>
    <row r="14" spans="1:11" x14ac:dyDescent="0.2">
      <c r="A14">
        <v>13</v>
      </c>
      <c r="B14" s="18">
        <v>-45.583199999999898</v>
      </c>
      <c r="C14" s="18">
        <v>29.913999999999898</v>
      </c>
      <c r="D14" s="18">
        <v>13.9903999999999</v>
      </c>
      <c r="E14" s="4" t="s">
        <v>32</v>
      </c>
      <c r="F14" s="4" t="s">
        <v>33</v>
      </c>
      <c r="G14" s="11" t="s">
        <v>13</v>
      </c>
      <c r="H14">
        <v>6</v>
      </c>
      <c r="I14" t="str">
        <f>IF(J14="视觉网络", "Visual Network",
    IF(J14="感觉运动网络", "Sensorimotor Network",
    IF(J14="背侧注意网络", "Dorsal Attention Network",
    IF(J14="腹侧注意网络", "Ventral Attention Network",
    IF(J14="边缘网络", "Limbic Network",
    IF(J14="额顶网络", "Frontoparietal Network",
    IF(J14="默认网络", "Default Mode Network",
    IF(J14="基底节网络", "Basal Ganglia Network", ""))))))))</f>
        <v>Frontoparietal Network</v>
      </c>
      <c r="J14" t="str">
        <f>IF(H14=1, "视觉网络", IF(H14=2, "感觉运动网络", IF(H14=3, "背侧注意网络", IF(H14=4, "腹侧注意网络", IF(H14=5, "边缘网络", IF(H14=6, "额顶网络", IF(H14=7, "默认网络", IF(H14=8, "下皮层网络", ""))))))))</f>
        <v>额顶网络</v>
      </c>
      <c r="K14">
        <v>5</v>
      </c>
    </row>
    <row r="15" spans="1:11" x14ac:dyDescent="0.2">
      <c r="A15">
        <v>14</v>
      </c>
      <c r="B15" s="18">
        <v>50.329700000000003</v>
      </c>
      <c r="C15" s="18">
        <v>30.1617999999999</v>
      </c>
      <c r="D15" s="18">
        <v>14.173400000000001</v>
      </c>
      <c r="E15" s="4" t="s">
        <v>34</v>
      </c>
      <c r="F15" s="4" t="s">
        <v>35</v>
      </c>
      <c r="G15" s="11" t="s">
        <v>13</v>
      </c>
      <c r="H15">
        <v>6</v>
      </c>
      <c r="I15" t="str">
        <f>IF(J15="视觉网络", "Visual Network",
    IF(J15="感觉运动网络", "Sensorimotor Network",
    IF(J15="背侧注意网络", "Dorsal Attention Network",
    IF(J15="腹侧注意网络", "Ventral Attention Network",
    IF(J15="边缘网络", "Limbic Network",
    IF(J15="额顶网络", "Frontoparietal Network",
    IF(J15="默认网络", "Default Mode Network",
    IF(J15="基底节网络", "Basal Ganglia Network", ""))))))))</f>
        <v>Frontoparietal Network</v>
      </c>
      <c r="J15" t="str">
        <f>IF(H15=1, "视觉网络", IF(H15=2, "感觉运动网络", IF(H15=3, "背侧注意网络", IF(H15=4, "腹侧注意网络", IF(H15=5, "边缘网络", IF(H15=6, "额顶网络", IF(H15=7, "默认网络", IF(H15=8, "下皮层网络", ""))))))))</f>
        <v>额顶网络</v>
      </c>
      <c r="K15">
        <v>5</v>
      </c>
    </row>
    <row r="16" spans="1:11" x14ac:dyDescent="0.2">
      <c r="A16">
        <v>15</v>
      </c>
      <c r="B16" s="18">
        <v>-35.9847999999999</v>
      </c>
      <c r="C16" s="18">
        <v>30.7074</v>
      </c>
      <c r="D16" s="18">
        <v>-12.1097999999999</v>
      </c>
      <c r="E16" s="4" t="s">
        <v>36</v>
      </c>
      <c r="F16" s="4" t="s">
        <v>37</v>
      </c>
      <c r="G16" s="11" t="s">
        <v>13</v>
      </c>
      <c r="H16">
        <v>7</v>
      </c>
      <c r="I16" t="str">
        <f>IF(J16="视觉网络", "Visual Network",
    IF(J16="感觉运动网络", "Sensorimotor Network",
    IF(J16="背侧注意网络", "Dorsal Attention Network",
    IF(J16="腹侧注意网络", "Ventral Attention Network",
    IF(J16="边缘网络", "Limbic Network",
    IF(J16="额顶网络", "Frontoparietal Network",
    IF(J16="默认网络", "Default Mode Network",
    IF(J16="基底节网络", "Basal Ganglia Network", ""))))))))</f>
        <v>Default Mode Network</v>
      </c>
      <c r="J16" t="str">
        <f>IF(H16=1, "视觉网络", IF(H16=2, "感觉运动网络", IF(H16=3, "背侧注意网络", IF(H16=4, "腹侧注意网络", IF(H16=5, "边缘网络", IF(H16=6, "额顶网络", IF(H16=7, "默认网络", IF(H16=8, "下皮层网络", ""))))))))</f>
        <v>默认网络</v>
      </c>
      <c r="K16">
        <v>6</v>
      </c>
    </row>
    <row r="17" spans="1:11" x14ac:dyDescent="0.2">
      <c r="A17">
        <v>16</v>
      </c>
      <c r="B17" s="18">
        <v>41.224400000000003</v>
      </c>
      <c r="C17" s="18">
        <v>32.2302999999999</v>
      </c>
      <c r="D17" s="18">
        <v>-11.911</v>
      </c>
      <c r="E17" s="4" t="s">
        <v>38</v>
      </c>
      <c r="F17" s="4" t="s">
        <v>39</v>
      </c>
      <c r="G17" s="11" t="s">
        <v>13</v>
      </c>
      <c r="H17">
        <v>7</v>
      </c>
      <c r="I17" t="str">
        <f>IF(J17="视觉网络", "Visual Network",
    IF(J17="感觉运动网络", "Sensorimotor Network",
    IF(J17="背侧注意网络", "Dorsal Attention Network",
    IF(J17="腹侧注意网络", "Ventral Attention Network",
    IF(J17="边缘网络", "Limbic Network",
    IF(J17="额顶网络", "Frontoparietal Network",
    IF(J17="默认网络", "Default Mode Network",
    IF(J17="基底节网络", "Basal Ganglia Network", ""))))))))</f>
        <v>Default Mode Network</v>
      </c>
      <c r="J17" t="str">
        <f>IF(H17=1, "视觉网络", IF(H17=2, "感觉运动网络", IF(H17=3, "背侧注意网络", IF(H17=4, "腹侧注意网络", IF(H17=5, "边缘网络", IF(H17=6, "额顶网络", IF(H17=7, "默认网络", IF(H17=8, "下皮层网络", ""))))))))</f>
        <v>默认网络</v>
      </c>
      <c r="K17">
        <v>6</v>
      </c>
    </row>
    <row r="18" spans="1:11" x14ac:dyDescent="0.2">
      <c r="A18">
        <v>17</v>
      </c>
      <c r="B18" s="18">
        <v>-47.158499999999897</v>
      </c>
      <c r="C18" s="18">
        <v>-8.4754999999999896</v>
      </c>
      <c r="D18" s="18">
        <v>13.9506999999999</v>
      </c>
      <c r="E18" s="4" t="s">
        <v>40</v>
      </c>
      <c r="F18" s="4" t="s">
        <v>41</v>
      </c>
      <c r="G18" s="11" t="s">
        <v>8</v>
      </c>
      <c r="H18">
        <v>2</v>
      </c>
      <c r="I18" t="str">
        <f>IF(J18="视觉网络", "Visual Network",
    IF(J18="感觉运动网络", "Sensorimotor Network",
    IF(J18="背侧注意网络", "Dorsal Attention Network",
    IF(J18="腹侧注意网络", "Ventral Attention Network",
    IF(J18="边缘网络", "Limbic Network",
    IF(J18="额顶网络", "Frontoparietal Network",
    IF(J18="默认网络", "Default Mode Network",
    IF(J18="基底节网络", "Basal Ganglia Network", ""))))))))</f>
        <v>Sensorimotor Network</v>
      </c>
      <c r="J18" t="str">
        <f>IF(H18=1, "视觉网络", IF(H18=2, "感觉运动网络", IF(H18=3, "背侧注意网络", IF(H18=4, "腹侧注意网络", IF(H18=5, "边缘网络", IF(H18=6, "额顶网络", IF(H18=7, "默认网络", IF(H18=8, "下皮层网络", ""))))))))</f>
        <v>感觉运动网络</v>
      </c>
      <c r="K18">
        <v>2</v>
      </c>
    </row>
    <row r="19" spans="1:11" x14ac:dyDescent="0.2">
      <c r="A19">
        <v>18</v>
      </c>
      <c r="B19" s="18">
        <v>52.646799999999999</v>
      </c>
      <c r="C19" s="18">
        <v>-6.2522000000000002</v>
      </c>
      <c r="D19" s="18">
        <v>14.634699999999899</v>
      </c>
      <c r="E19" s="4" t="s">
        <v>42</v>
      </c>
      <c r="F19" s="4" t="s">
        <v>43</v>
      </c>
      <c r="G19" s="11" t="s">
        <v>8</v>
      </c>
      <c r="H19">
        <v>2</v>
      </c>
      <c r="I19" t="str">
        <f>IF(J19="视觉网络", "Visual Network",
    IF(J19="感觉运动网络", "Sensorimotor Network",
    IF(J19="背侧注意网络", "Dorsal Attention Network",
    IF(J19="腹侧注意网络", "Ventral Attention Network",
    IF(J19="边缘网络", "Limbic Network",
    IF(J19="额顶网络", "Frontoparietal Network",
    IF(J19="默认网络", "Default Mode Network",
    IF(J19="基底节网络", "Basal Ganglia Network", ""))))))))</f>
        <v>Sensorimotor Network</v>
      </c>
      <c r="J19" t="str">
        <f>IF(H19=1, "视觉网络", IF(H19=2, "感觉运动网络", IF(H19=3, "背侧注意网络", IF(H19=4, "腹侧注意网络", IF(H19=5, "边缘网络", IF(H19=6, "额顶网络", IF(H19=7, "默认网络", IF(H19=8, "下皮层网络", ""))))))))</f>
        <v>感觉运动网络</v>
      </c>
      <c r="K19">
        <v>2</v>
      </c>
    </row>
    <row r="20" spans="1:11" x14ac:dyDescent="0.2">
      <c r="A20">
        <v>19</v>
      </c>
      <c r="B20" s="18">
        <v>-5.3239999999999901</v>
      </c>
      <c r="C20" s="18">
        <v>4.8484999999999996</v>
      </c>
      <c r="D20" s="18">
        <v>61.375499999999903</v>
      </c>
      <c r="E20" s="4" t="s">
        <v>44</v>
      </c>
      <c r="F20" s="4" t="s">
        <v>45</v>
      </c>
      <c r="G20" s="11" t="s">
        <v>8</v>
      </c>
      <c r="H20">
        <v>2</v>
      </c>
      <c r="I20" t="str">
        <f>IF(J20="视觉网络", "Visual Network",
    IF(J20="感觉运动网络", "Sensorimotor Network",
    IF(J20="背侧注意网络", "Dorsal Attention Network",
    IF(J20="腹侧注意网络", "Ventral Attention Network",
    IF(J20="边缘网络", "Limbic Network",
    IF(J20="额顶网络", "Frontoparietal Network",
    IF(J20="默认网络", "Default Mode Network",
    IF(J20="基底节网络", "Basal Ganglia Network", ""))))))))</f>
        <v>Sensorimotor Network</v>
      </c>
      <c r="J20" t="str">
        <f>IF(H20=1, "视觉网络", IF(H20=2, "感觉运动网络", IF(H20=3, "背侧注意网络", IF(H20=4, "腹侧注意网络", IF(H20=5, "边缘网络", IF(H20=6, "额顶网络", IF(H20=7, "默认网络", IF(H20=8, "下皮层网络", ""))))))))</f>
        <v>感觉运动网络</v>
      </c>
      <c r="K20">
        <v>2</v>
      </c>
    </row>
    <row r="21" spans="1:11" x14ac:dyDescent="0.2">
      <c r="A21">
        <v>20</v>
      </c>
      <c r="B21" s="18">
        <v>8.6157999999999895</v>
      </c>
      <c r="C21" s="18">
        <v>0.17140000000000499</v>
      </c>
      <c r="D21" s="18">
        <v>61.8538</v>
      </c>
      <c r="E21" s="4" t="s">
        <v>46</v>
      </c>
      <c r="F21" s="4" t="s">
        <v>47</v>
      </c>
      <c r="G21" s="11" t="s">
        <v>8</v>
      </c>
      <c r="H21">
        <v>2</v>
      </c>
      <c r="I21" t="str">
        <f>IF(J21="视觉网络", "Visual Network",
    IF(J21="感觉运动网络", "Sensorimotor Network",
    IF(J21="背侧注意网络", "Dorsal Attention Network",
    IF(J21="腹侧注意网络", "Ventral Attention Network",
    IF(J21="边缘网络", "Limbic Network",
    IF(J21="额顶网络", "Frontoparietal Network",
    IF(J21="默认网络", "Default Mode Network",
    IF(J21="基底节网络", "Basal Ganglia Network", ""))))))))</f>
        <v>Sensorimotor Network</v>
      </c>
      <c r="J21" t="str">
        <f>IF(H21=1, "视觉网络", IF(H21=2, "感觉运动网络", IF(H21=3, "背侧注意网络", IF(H21=4, "腹侧注意网络", IF(H21=5, "边缘网络", IF(H21=6, "额顶网络", IF(H21=7, "默认网络", IF(H21=8, "下皮层网络", ""))))))))</f>
        <v>感觉运动网络</v>
      </c>
      <c r="K21">
        <v>2</v>
      </c>
    </row>
    <row r="22" spans="1:11" x14ac:dyDescent="0.2">
      <c r="A22">
        <v>21</v>
      </c>
      <c r="B22" s="18">
        <v>-8.0627999999999904</v>
      </c>
      <c r="C22" s="18">
        <v>15.053100000000001</v>
      </c>
      <c r="D22" s="18">
        <v>-11.455299999999999</v>
      </c>
      <c r="E22" s="4" t="s">
        <v>48</v>
      </c>
      <c r="F22" s="4" t="s">
        <v>49</v>
      </c>
      <c r="G22" s="11" t="s">
        <v>13</v>
      </c>
      <c r="H22">
        <v>5</v>
      </c>
      <c r="I22" t="str">
        <f>IF(J22="视觉网络", "Visual Network",
    IF(J22="感觉运动网络", "Sensorimotor Network",
    IF(J22="背侧注意网络", "Dorsal Attention Network",
    IF(J22="腹侧注意网络", "Ventral Attention Network",
    IF(J22="边缘网络", "Limbic Network",
    IF(J22="额顶网络", "Frontoparietal Network",
    IF(J22="默认网络", "Default Mode Network",
    IF(J22="基底节网络", "Basal Ganglia Network", ""))))))))</f>
        <v>Limbic Network</v>
      </c>
      <c r="J22" t="str">
        <f>IF(H22=1, "视觉网络", IF(H22=2, "感觉运动网络", IF(H22=3, "背侧注意网络", IF(H22=4, "腹侧注意网络", IF(H22=5, "边缘网络", IF(H22=6, "额顶网络", IF(H22=7, "默认网络", IF(H22=8, "下皮层网络", ""))))))))</f>
        <v>边缘网络</v>
      </c>
      <c r="K22">
        <v>4</v>
      </c>
    </row>
    <row r="23" spans="1:11" x14ac:dyDescent="0.2">
      <c r="A23">
        <v>22</v>
      </c>
      <c r="B23" s="18">
        <v>10.4269</v>
      </c>
      <c r="C23" s="18">
        <v>15.912100000000001</v>
      </c>
      <c r="D23" s="18">
        <v>-11.2563</v>
      </c>
      <c r="E23" s="4" t="s">
        <v>50</v>
      </c>
      <c r="F23" s="4" t="s">
        <v>51</v>
      </c>
      <c r="G23" s="11" t="s">
        <v>13</v>
      </c>
      <c r="H23">
        <v>5</v>
      </c>
      <c r="I23" t="str">
        <f>IF(J23="视觉网络", "Visual Network",
    IF(J23="感觉运动网络", "Sensorimotor Network",
    IF(J23="背侧注意网络", "Dorsal Attention Network",
    IF(J23="腹侧注意网络", "Ventral Attention Network",
    IF(J23="边缘网络", "Limbic Network",
    IF(J23="额顶网络", "Frontoparietal Network",
    IF(J23="默认网络", "Default Mode Network",
    IF(J23="基底节网络", "Basal Ganglia Network", ""))))))))</f>
        <v>Limbic Network</v>
      </c>
      <c r="J23" t="str">
        <f>IF(H23=1, "视觉网络", IF(H23=2, "感觉运动网络", IF(H23=3, "背侧注意网络", IF(H23=4, "腹侧注意网络", IF(H23=5, "边缘网络", IF(H23=6, "额顶网络", IF(H23=7, "默认网络", IF(H23=8, "下皮层网络", ""))))))))</f>
        <v>边缘网络</v>
      </c>
      <c r="K23">
        <v>4</v>
      </c>
    </row>
    <row r="24" spans="1:11" x14ac:dyDescent="0.2">
      <c r="A24">
        <v>23</v>
      </c>
      <c r="B24" s="18">
        <v>-4.7994000000000003</v>
      </c>
      <c r="C24" s="18">
        <v>49.168700000000001</v>
      </c>
      <c r="D24" s="18">
        <v>30.8936999999999</v>
      </c>
      <c r="E24" s="4" t="s">
        <v>52</v>
      </c>
      <c r="F24" s="4" t="s">
        <v>53</v>
      </c>
      <c r="G24" s="11" t="s">
        <v>13</v>
      </c>
      <c r="H24">
        <v>7</v>
      </c>
      <c r="I24" t="str">
        <f>IF(J24="视觉网络", "Visual Network",
    IF(J24="感觉运动网络", "Sensorimotor Network",
    IF(J24="背侧注意网络", "Dorsal Attention Network",
    IF(J24="腹侧注意网络", "Ventral Attention Network",
    IF(J24="边缘网络", "Limbic Network",
    IF(J24="额顶网络", "Frontoparietal Network",
    IF(J24="默认网络", "Default Mode Network",
    IF(J24="基底节网络", "Basal Ganglia Network", ""))))))))</f>
        <v>Default Mode Network</v>
      </c>
      <c r="J24" t="str">
        <f>IF(H24=1, "视觉网络", IF(H24=2, "感觉运动网络", IF(H24=3, "背侧注意网络", IF(H24=4, "腹侧注意网络", IF(H24=5, "边缘网络", IF(H24=6, "额顶网络", IF(H24=7, "默认网络", IF(H24=8, "下皮层网络", ""))))))))</f>
        <v>默认网络</v>
      </c>
      <c r="K24">
        <v>6</v>
      </c>
    </row>
    <row r="25" spans="1:11" x14ac:dyDescent="0.2">
      <c r="A25">
        <v>24</v>
      </c>
      <c r="B25" s="18">
        <v>9.0993999999999993</v>
      </c>
      <c r="C25" s="18">
        <v>50.840599999999903</v>
      </c>
      <c r="D25" s="18">
        <v>30.2193</v>
      </c>
      <c r="E25" s="4" t="s">
        <v>54</v>
      </c>
      <c r="F25" s="4" t="s">
        <v>55</v>
      </c>
      <c r="G25" s="11" t="s">
        <v>13</v>
      </c>
      <c r="H25">
        <v>7</v>
      </c>
      <c r="I25" t="str">
        <f>IF(J25="视觉网络", "Visual Network",
    IF(J25="感觉运动网络", "Sensorimotor Network",
    IF(J25="背侧注意网络", "Dorsal Attention Network",
    IF(J25="腹侧注意网络", "Ventral Attention Network",
    IF(J25="边缘网络", "Limbic Network",
    IF(J25="额顶网络", "Frontoparietal Network",
    IF(J25="默认网络", "Default Mode Network",
    IF(J25="基底节网络", "Basal Ganglia Network", ""))))))))</f>
        <v>Default Mode Network</v>
      </c>
      <c r="J25" t="str">
        <f>IF(H25=1, "视觉网络", IF(H25=2, "感觉运动网络", IF(H25=3, "背侧注意网络", IF(H25=4, "腹侧注意网络", IF(H25=5, "边缘网络", IF(H25=6, "额顶网络", IF(H25=7, "默认网络", IF(H25=8, "下皮层网络", ""))))))))</f>
        <v>默认网络</v>
      </c>
      <c r="K25">
        <v>6</v>
      </c>
    </row>
    <row r="26" spans="1:11" x14ac:dyDescent="0.2">
      <c r="A26">
        <v>25</v>
      </c>
      <c r="B26" s="18">
        <v>-5.1740000000000004</v>
      </c>
      <c r="C26" s="18">
        <v>54.057099999999899</v>
      </c>
      <c r="D26" s="18">
        <v>-7.39679999999999</v>
      </c>
      <c r="E26" s="4" t="s">
        <v>56</v>
      </c>
      <c r="F26" s="4" t="s">
        <v>57</v>
      </c>
      <c r="G26" s="11" t="s">
        <v>13</v>
      </c>
      <c r="H26">
        <v>7</v>
      </c>
      <c r="I26" t="str">
        <f>IF(J26="视觉网络", "Visual Network",
    IF(J26="感觉运动网络", "Sensorimotor Network",
    IF(J26="背侧注意网络", "Dorsal Attention Network",
    IF(J26="腹侧注意网络", "Ventral Attention Network",
    IF(J26="边缘网络", "Limbic Network",
    IF(J26="额顶网络", "Frontoparietal Network",
    IF(J26="默认网络", "Default Mode Network",
    IF(J26="基底节网络", "Basal Ganglia Network", ""))))))))</f>
        <v>Default Mode Network</v>
      </c>
      <c r="J26" t="str">
        <f>IF(H26=1, "视觉网络", IF(H26=2, "感觉运动网络", IF(H26=3, "背侧注意网络", IF(H26=4, "腹侧注意网络", IF(H26=5, "边缘网络", IF(H26=6, "额顶网络", IF(H26=7, "默认网络", IF(H26=8, "下皮层网络", ""))))))))</f>
        <v>默认网络</v>
      </c>
      <c r="K26">
        <v>6</v>
      </c>
    </row>
    <row r="27" spans="1:11" x14ac:dyDescent="0.2">
      <c r="A27">
        <v>26</v>
      </c>
      <c r="B27" s="18">
        <v>8.1610999999999994</v>
      </c>
      <c r="C27" s="18">
        <v>51.6709999999999</v>
      </c>
      <c r="D27" s="18">
        <v>-7.1341000000000001</v>
      </c>
      <c r="E27" s="4" t="s">
        <v>58</v>
      </c>
      <c r="F27" s="4" t="s">
        <v>59</v>
      </c>
      <c r="G27" s="11" t="s">
        <v>13</v>
      </c>
      <c r="H27">
        <v>7</v>
      </c>
      <c r="I27" t="str">
        <f>IF(J27="视觉网络", "Visual Network",
    IF(J27="感觉运动网络", "Sensorimotor Network",
    IF(J27="背侧注意网络", "Dorsal Attention Network",
    IF(J27="腹侧注意网络", "Ventral Attention Network",
    IF(J27="边缘网络", "Limbic Network",
    IF(J27="额顶网络", "Frontoparietal Network",
    IF(J27="默认网络", "Default Mode Network",
    IF(J27="基底节网络", "Basal Ganglia Network", ""))))))))</f>
        <v>Default Mode Network</v>
      </c>
      <c r="J27" t="str">
        <f>IF(H27=1, "视觉网络", IF(H27=2, "感觉运动网络", IF(H27=3, "背侧注意网络", IF(H27=4, "腹侧注意网络", IF(H27=5, "边缘网络", IF(H27=6, "额顶网络", IF(H27=7, "默认网络", IF(H27=8, "下皮层网络", ""))))))))</f>
        <v>默认网络</v>
      </c>
      <c r="K27">
        <v>6</v>
      </c>
    </row>
    <row r="28" spans="1:11" x14ac:dyDescent="0.2">
      <c r="A28">
        <v>27</v>
      </c>
      <c r="B28" s="18">
        <v>-5.0819000000000001</v>
      </c>
      <c r="C28" s="18">
        <v>37.072399999999902</v>
      </c>
      <c r="D28" s="18">
        <v>-18.136199999999999</v>
      </c>
      <c r="E28" s="4" t="s">
        <v>60</v>
      </c>
      <c r="F28" s="4" t="s">
        <v>61</v>
      </c>
      <c r="G28" s="11" t="s">
        <v>13</v>
      </c>
      <c r="H28">
        <v>5</v>
      </c>
      <c r="I28" t="str">
        <f>IF(J28="视觉网络", "Visual Network",
    IF(J28="感觉运动网络", "Sensorimotor Network",
    IF(J28="背侧注意网络", "Dorsal Attention Network",
    IF(J28="腹侧注意网络", "Ventral Attention Network",
    IF(J28="边缘网络", "Limbic Network",
    IF(J28="额顶网络", "Frontoparietal Network",
    IF(J28="默认网络", "Default Mode Network",
    IF(J28="基底节网络", "Basal Ganglia Network", ""))))))))</f>
        <v>Limbic Network</v>
      </c>
      <c r="J28" t="str">
        <f>IF(H28=1, "视觉网络", IF(H28=2, "感觉运动网络", IF(H28=3, "背侧注意网络", IF(H28=4, "腹侧注意网络", IF(H28=5, "边缘网络", IF(H28=6, "额顶网络", IF(H28=7, "默认网络", IF(H28=8, "下皮层网络", ""))))))))</f>
        <v>边缘网络</v>
      </c>
      <c r="K28">
        <v>4</v>
      </c>
    </row>
    <row r="29" spans="1:11" x14ac:dyDescent="0.2">
      <c r="A29">
        <v>28</v>
      </c>
      <c r="B29" s="18">
        <v>8.3533000000000008</v>
      </c>
      <c r="C29" s="18">
        <v>35.6447</v>
      </c>
      <c r="D29" s="18">
        <v>-18.043999999999901</v>
      </c>
      <c r="E29" s="4" t="s">
        <v>62</v>
      </c>
      <c r="F29" s="4" t="s">
        <v>63</v>
      </c>
      <c r="G29" s="11" t="s">
        <v>13</v>
      </c>
      <c r="H29">
        <v>5</v>
      </c>
      <c r="I29" t="str">
        <f>IF(J29="视觉网络", "Visual Network",
    IF(J29="感觉运动网络", "Sensorimotor Network",
    IF(J29="背侧注意网络", "Dorsal Attention Network",
    IF(J29="腹侧注意网络", "Ventral Attention Network",
    IF(J29="边缘网络", "Limbic Network",
    IF(J29="额顶网络", "Frontoparietal Network",
    IF(J29="默认网络", "Default Mode Network",
    IF(J29="基底节网络", "Basal Ganglia Network", ""))))))))</f>
        <v>Limbic Network</v>
      </c>
      <c r="J29" t="str">
        <f>IF(H29=1, "视觉网络", IF(H29=2, "感觉运动网络", IF(H29=3, "背侧注意网络", IF(H29=4, "腹侧注意网络", IF(H29=5, "边缘网络", IF(H29=6, "额顶网络", IF(H29=7, "默认网络", IF(H29=8, "下皮层网络", ""))))))))</f>
        <v>边缘网络</v>
      </c>
      <c r="K29">
        <v>4</v>
      </c>
    </row>
    <row r="30" spans="1:11" x14ac:dyDescent="0.2">
      <c r="A30">
        <v>29</v>
      </c>
      <c r="B30" s="18">
        <v>-35.131</v>
      </c>
      <c r="C30" s="18">
        <v>6.6517999999999997</v>
      </c>
      <c r="D30" s="18">
        <v>3.4408999999999899</v>
      </c>
      <c r="E30" s="4" t="s">
        <v>64</v>
      </c>
      <c r="F30" s="4" t="s">
        <v>65</v>
      </c>
      <c r="G30" s="9" t="s">
        <v>66</v>
      </c>
      <c r="H30">
        <v>4</v>
      </c>
      <c r="I30" t="str">
        <f>IF(J30="视觉网络", "Visual Network",
    IF(J30="感觉运动网络", "Sensorimotor Network",
    IF(J30="背侧注意网络", "Dorsal Attention Network",
    IF(J30="腹侧注意网络", "Ventral Attention Network",
    IF(J30="边缘网络", "Limbic Network",
    IF(J30="额顶网络", "Frontoparietal Network",
    IF(J30="默认网络", "Default Mode Network",
    IF(J30="基底节网络", "Basal Ganglia Network", ""))))))))</f>
        <v>Ventral Attention Network</v>
      </c>
      <c r="J30" t="str">
        <f>IF(H30=1, "视觉网络", IF(H30=2, "感觉运动网络", IF(H30=3, "背侧注意网络", IF(H30=4, "腹侧注意网络", IF(H30=5, "边缘网络", IF(H30=6, "额顶网络", IF(H30=7, "默认网络", IF(H30=8, "下皮层网络", ""))))))))</f>
        <v>腹侧注意网络</v>
      </c>
      <c r="K30">
        <v>3</v>
      </c>
    </row>
    <row r="31" spans="1:11" x14ac:dyDescent="0.2">
      <c r="A31">
        <v>30</v>
      </c>
      <c r="B31" s="18">
        <v>39.019100000000002</v>
      </c>
      <c r="C31" s="18">
        <v>6.2450999999999999</v>
      </c>
      <c r="D31" s="18">
        <v>2.0775000000000001</v>
      </c>
      <c r="E31" s="4" t="s">
        <v>67</v>
      </c>
      <c r="F31" s="4" t="s">
        <v>68</v>
      </c>
      <c r="G31" s="9" t="s">
        <v>66</v>
      </c>
      <c r="H31">
        <v>4</v>
      </c>
      <c r="I31" t="str">
        <f>IF(J31="视觉网络", "Visual Network",
    IF(J31="感觉运动网络", "Sensorimotor Network",
    IF(J31="背侧注意网络", "Dorsal Attention Network",
    IF(J31="腹侧注意网络", "Ventral Attention Network",
    IF(J31="边缘网络", "Limbic Network",
    IF(J31="额顶网络", "Frontoparietal Network",
    IF(J31="默认网络", "Default Mode Network",
    IF(J31="基底节网络", "Basal Ganglia Network", ""))))))))</f>
        <v>Ventral Attention Network</v>
      </c>
      <c r="J31" t="str">
        <f>IF(H31=1, "视觉网络", IF(H31=2, "感觉运动网络", IF(H31=3, "背侧注意网络", IF(H31=4, "腹侧注意网络", IF(H31=5, "边缘网络", IF(H31=6, "额顶网络", IF(H31=7, "默认网络", IF(H31=8, "下皮层网络", ""))))))))</f>
        <v>腹侧注意网络</v>
      </c>
      <c r="K31">
        <v>3</v>
      </c>
    </row>
    <row r="32" spans="1:11" x14ac:dyDescent="0.2">
      <c r="A32">
        <v>31</v>
      </c>
      <c r="B32" s="18">
        <v>-4.0366</v>
      </c>
      <c r="C32" s="18">
        <v>35.399900000000002</v>
      </c>
      <c r="D32" s="18">
        <v>13.9528999999999</v>
      </c>
      <c r="E32" s="4" t="s">
        <v>69</v>
      </c>
      <c r="F32" s="4" t="s">
        <v>70</v>
      </c>
      <c r="G32" s="11" t="s">
        <v>13</v>
      </c>
      <c r="H32">
        <v>7</v>
      </c>
      <c r="I32" t="str">
        <f>IF(J32="视觉网络", "Visual Network",
    IF(J32="感觉运动网络", "Sensorimotor Network",
    IF(J32="背侧注意网络", "Dorsal Attention Network",
    IF(J32="腹侧注意网络", "Ventral Attention Network",
    IF(J32="边缘网络", "Limbic Network",
    IF(J32="额顶网络", "Frontoparietal Network",
    IF(J32="默认网络", "Default Mode Network",
    IF(J32="基底节网络", "Basal Ganglia Network", ""))))))))</f>
        <v>Default Mode Network</v>
      </c>
      <c r="J32" t="str">
        <f>IF(H32=1, "视觉网络", IF(H32=2, "感觉运动网络", IF(H32=3, "背侧注意网络", IF(H32=4, "腹侧注意网络", IF(H32=5, "边缘网络", IF(H32=6, "额顶网络", IF(H32=7, "默认网络", IF(H32=8, "下皮层网络", ""))))))))</f>
        <v>默认网络</v>
      </c>
      <c r="K32">
        <v>6</v>
      </c>
    </row>
    <row r="33" spans="1:11" x14ac:dyDescent="0.2">
      <c r="A33">
        <v>32</v>
      </c>
      <c r="B33" s="18">
        <v>8.4556999999999896</v>
      </c>
      <c r="C33" s="18">
        <v>37.005599999999902</v>
      </c>
      <c r="D33" s="18">
        <v>15.839799999999901</v>
      </c>
      <c r="E33" s="4" t="s">
        <v>71</v>
      </c>
      <c r="F33" s="4" t="s">
        <v>72</v>
      </c>
      <c r="G33" s="11" t="s">
        <v>13</v>
      </c>
      <c r="H33">
        <v>7</v>
      </c>
      <c r="I33" t="str">
        <f>IF(J33="视觉网络", "Visual Network",
    IF(J33="感觉运动网络", "Sensorimotor Network",
    IF(J33="背侧注意网络", "Dorsal Attention Network",
    IF(J33="腹侧注意网络", "Ventral Attention Network",
    IF(J33="边缘网络", "Limbic Network",
    IF(J33="额顶网络", "Frontoparietal Network",
    IF(J33="默认网络", "Default Mode Network",
    IF(J33="基底节网络", "Basal Ganglia Network", ""))))))))</f>
        <v>Default Mode Network</v>
      </c>
      <c r="J33" t="str">
        <f>IF(H33=1, "视觉网络", IF(H33=2, "感觉运动网络", IF(H33=3, "背侧注意网络", IF(H33=4, "腹侧注意网络", IF(H33=5, "边缘网络", IF(H33=6, "额顶网络", IF(H33=7, "默认网络", IF(H33=8, "下皮层网络", ""))))))))</f>
        <v>默认网络</v>
      </c>
      <c r="K33">
        <v>6</v>
      </c>
    </row>
    <row r="34" spans="1:11" x14ac:dyDescent="0.2">
      <c r="A34">
        <v>33</v>
      </c>
      <c r="B34" s="18">
        <v>-5.4763999999999902</v>
      </c>
      <c r="C34" s="18">
        <v>-14.919799999999899</v>
      </c>
      <c r="D34" s="18">
        <v>41.569400000000002</v>
      </c>
      <c r="E34" s="4" t="s">
        <v>73</v>
      </c>
      <c r="F34" s="4" t="s">
        <v>74</v>
      </c>
      <c r="G34" s="11" t="s">
        <v>8</v>
      </c>
      <c r="H34">
        <v>4</v>
      </c>
      <c r="I34" t="str">
        <f>IF(J34="视觉网络", "Visual Network",
    IF(J34="感觉运动网络", "Sensorimotor Network",
    IF(J34="背侧注意网络", "Dorsal Attention Network",
    IF(J34="腹侧注意网络", "Ventral Attention Network",
    IF(J34="边缘网络", "Limbic Network",
    IF(J34="额顶网络", "Frontoparietal Network",
    IF(J34="默认网络", "Default Mode Network",
    IF(J34="基底节网络", "Basal Ganglia Network", ""))))))))</f>
        <v>Ventral Attention Network</v>
      </c>
      <c r="J34" t="str">
        <f>IF(H34=1, "视觉网络", IF(H34=2, "感觉运动网络", IF(H34=3, "背侧注意网络", IF(H34=4, "腹侧注意网络", IF(H34=5, "边缘网络", IF(H34=6, "额顶网络", IF(H34=7, "默认网络", IF(H34=8, "下皮层网络", ""))))))))</f>
        <v>腹侧注意网络</v>
      </c>
      <c r="K34">
        <v>3</v>
      </c>
    </row>
    <row r="35" spans="1:11" x14ac:dyDescent="0.2">
      <c r="A35">
        <v>34</v>
      </c>
      <c r="B35" s="18">
        <v>8.0203999999999898</v>
      </c>
      <c r="C35" s="18">
        <v>-8.8263999999999996</v>
      </c>
      <c r="D35" s="18">
        <v>39.790999999999897</v>
      </c>
      <c r="E35" s="4" t="s">
        <v>75</v>
      </c>
      <c r="F35" s="4" t="s">
        <v>76</v>
      </c>
      <c r="G35" s="11" t="s">
        <v>8</v>
      </c>
      <c r="H35">
        <v>4</v>
      </c>
      <c r="I35" t="str">
        <f>IF(J35="视觉网络", "Visual Network",
    IF(J35="感觉运动网络", "Sensorimotor Network",
    IF(J35="背侧注意网络", "Dorsal Attention Network",
    IF(J35="腹侧注意网络", "Ventral Attention Network",
    IF(J35="边缘网络", "Limbic Network",
    IF(J35="额顶网络", "Frontoparietal Network",
    IF(J35="默认网络", "Default Mode Network",
    IF(J35="基底节网络", "Basal Ganglia Network", ""))))))))</f>
        <v>Ventral Attention Network</v>
      </c>
      <c r="J35" t="str">
        <f>IF(H35=1, "视觉网络", IF(H35=2, "感觉运动网络", IF(H35=3, "背侧注意网络", IF(H35=4, "腹侧注意网络", IF(H35=5, "边缘网络", IF(H35=6, "额顶网络", IF(H35=7, "默认网络", IF(H35=8, "下皮层网络", ""))))))))</f>
        <v>腹侧注意网络</v>
      </c>
      <c r="K35">
        <v>3</v>
      </c>
    </row>
    <row r="36" spans="1:11" x14ac:dyDescent="0.2">
      <c r="A36">
        <v>35</v>
      </c>
      <c r="B36" s="18">
        <v>-4.8475999999999901</v>
      </c>
      <c r="C36" s="18">
        <v>-42.917900000000003</v>
      </c>
      <c r="D36" s="18">
        <v>24.669699999999999</v>
      </c>
      <c r="E36" s="4" t="s">
        <v>77</v>
      </c>
      <c r="F36" s="4" t="s">
        <v>78</v>
      </c>
      <c r="G36" s="11" t="s">
        <v>79</v>
      </c>
      <c r="H36">
        <v>7</v>
      </c>
      <c r="I36" t="str">
        <f>IF(J36="视觉网络", "Visual Network",
    IF(J36="感觉运动网络", "Sensorimotor Network",
    IF(J36="背侧注意网络", "Dorsal Attention Network",
    IF(J36="腹侧注意网络", "Ventral Attention Network",
    IF(J36="边缘网络", "Limbic Network",
    IF(J36="额顶网络", "Frontoparietal Network",
    IF(J36="默认网络", "Default Mode Network",
    IF(J36="基底节网络", "Basal Ganglia Network", ""))))))))</f>
        <v>Default Mode Network</v>
      </c>
      <c r="J36" t="str">
        <f>IF(H36=1, "视觉网络", IF(H36=2, "感觉运动网络", IF(H36=3, "背侧注意网络", IF(H36=4, "腹侧注意网络", IF(H36=5, "边缘网络", IF(H36=6, "额顶网络", IF(H36=7, "默认网络", IF(H36=8, "下皮层网络", ""))))))))</f>
        <v>默认网络</v>
      </c>
      <c r="K36">
        <v>6</v>
      </c>
    </row>
    <row r="37" spans="1:11" x14ac:dyDescent="0.2">
      <c r="A37">
        <v>36</v>
      </c>
      <c r="B37" s="18">
        <v>7.4375</v>
      </c>
      <c r="C37" s="18">
        <v>-41.814999999999898</v>
      </c>
      <c r="D37" s="18">
        <v>21.866599999999998</v>
      </c>
      <c r="E37" s="4" t="s">
        <v>80</v>
      </c>
      <c r="F37" s="4" t="s">
        <v>81</v>
      </c>
      <c r="G37" s="11" t="s">
        <v>79</v>
      </c>
      <c r="H37">
        <v>7</v>
      </c>
      <c r="I37" t="str">
        <f>IF(J37="视觉网络", "Visual Network",
    IF(J37="感觉运动网络", "Sensorimotor Network",
    IF(J37="背侧注意网络", "Dorsal Attention Network",
    IF(J37="腹侧注意网络", "Ventral Attention Network",
    IF(J37="边缘网络", "Limbic Network",
    IF(J37="额顶网络", "Frontoparietal Network",
    IF(J37="默认网络", "Default Mode Network",
    IF(J37="基底节网络", "Basal Ganglia Network", ""))))))))</f>
        <v>Default Mode Network</v>
      </c>
      <c r="J37" t="str">
        <f>IF(H37=1, "视觉网络", IF(H37=2, "感觉运动网络", IF(H37=3, "背侧注意网络", IF(H37=4, "腹侧注意网络", IF(H37=5, "边缘网络", IF(H37=6, "额顶网络", IF(H37=7, "默认网络", IF(H37=8, "下皮层网络", ""))))))))</f>
        <v>默认网络</v>
      </c>
      <c r="K37">
        <v>6</v>
      </c>
    </row>
    <row r="38" spans="1:11" x14ac:dyDescent="0.2">
      <c r="A38">
        <v>37</v>
      </c>
      <c r="B38" s="18">
        <v>-25.026799999999898</v>
      </c>
      <c r="C38" s="18">
        <v>-20.741199999999999</v>
      </c>
      <c r="D38" s="18">
        <v>-10.1334999999999</v>
      </c>
      <c r="E38" s="4" t="s">
        <v>82</v>
      </c>
      <c r="F38" s="4" t="s">
        <v>83</v>
      </c>
      <c r="G38" s="11" t="s">
        <v>84</v>
      </c>
      <c r="H38">
        <v>5</v>
      </c>
      <c r="I38" t="str">
        <f>IF(J38="视觉网络", "Visual Network",
    IF(J38="感觉运动网络", "Sensorimotor Network",
    IF(J38="背侧注意网络", "Dorsal Attention Network",
    IF(J38="腹侧注意网络", "Ventral Attention Network",
    IF(J38="边缘网络", "Limbic Network",
    IF(J38="额顶网络", "Frontoparietal Network",
    IF(J38="默认网络", "Default Mode Network",
    IF(J38="基底节网络", "Basal Ganglia Network", ""))))))))</f>
        <v>Limbic Network</v>
      </c>
      <c r="J38" t="str">
        <f>IF(H38=1, "视觉网络", IF(H38=2, "感觉运动网络", IF(H38=3, "背侧注意网络", IF(H38=4, "腹侧注意网络", IF(H38=5, "边缘网络", IF(H38=6, "额顶网络", IF(H38=7, "默认网络", IF(H38=8, "下皮层网络", ""))))))))</f>
        <v>边缘网络</v>
      </c>
      <c r="K38">
        <v>4</v>
      </c>
    </row>
    <row r="39" spans="1:11" x14ac:dyDescent="0.2">
      <c r="A39">
        <v>38</v>
      </c>
      <c r="B39" s="18">
        <v>29.230699999999899</v>
      </c>
      <c r="C39" s="18">
        <v>-19.783199999999901</v>
      </c>
      <c r="D39" s="18">
        <v>-10.331200000000001</v>
      </c>
      <c r="E39" s="4" t="s">
        <v>85</v>
      </c>
      <c r="F39" s="4" t="s">
        <v>86</v>
      </c>
      <c r="G39" s="11" t="s">
        <v>84</v>
      </c>
      <c r="H39">
        <v>5</v>
      </c>
      <c r="I39" t="str">
        <f>IF(J39="视觉网络", "Visual Network",
    IF(J39="感觉运动网络", "Sensorimotor Network",
    IF(J39="背侧注意网络", "Dorsal Attention Network",
    IF(J39="腹侧注意网络", "Ventral Attention Network",
    IF(J39="边缘网络", "Limbic Network",
    IF(J39="额顶网络", "Frontoparietal Network",
    IF(J39="默认网络", "Default Mode Network",
    IF(J39="基底节网络", "Basal Ganglia Network", ""))))))))</f>
        <v>Limbic Network</v>
      </c>
      <c r="J39" t="str">
        <f>IF(H39=1, "视觉网络", IF(H39=2, "感觉运动网络", IF(H39=3, "背侧注意网络", IF(H39=4, "腹侧注意网络", IF(H39=5, "边缘网络", IF(H39=6, "额顶网络", IF(H39=7, "默认网络", IF(H39=8, "下皮层网络", ""))))))))</f>
        <v>边缘网络</v>
      </c>
      <c r="K39">
        <v>4</v>
      </c>
    </row>
    <row r="40" spans="1:11" x14ac:dyDescent="0.2">
      <c r="A40">
        <v>39</v>
      </c>
      <c r="B40" s="18">
        <v>-21.1710999999999</v>
      </c>
      <c r="C40" s="18">
        <v>-15.950299999999899</v>
      </c>
      <c r="D40" s="18">
        <v>-20.7043</v>
      </c>
      <c r="E40" s="4" t="s">
        <v>87</v>
      </c>
      <c r="F40" s="4" t="s">
        <v>88</v>
      </c>
      <c r="G40" s="11" t="s">
        <v>84</v>
      </c>
      <c r="H40">
        <v>7</v>
      </c>
      <c r="I40" t="str">
        <f>IF(J40="视觉网络", "Visual Network",
    IF(J40="感觉运动网络", "Sensorimotor Network",
    IF(J40="背侧注意网络", "Dorsal Attention Network",
    IF(J40="腹侧注意网络", "Ventral Attention Network",
    IF(J40="边缘网络", "Limbic Network",
    IF(J40="额顶网络", "Frontoparietal Network",
    IF(J40="默认网络", "Default Mode Network",
    IF(J40="基底节网络", "Basal Ganglia Network", ""))))))))</f>
        <v>Default Mode Network</v>
      </c>
      <c r="J40" t="str">
        <f>IF(H40=1, "视觉网络", IF(H40=2, "感觉运动网络", IF(H40=3, "背侧注意网络", IF(H40=4, "腹侧注意网络", IF(H40=5, "边缘网络", IF(H40=6, "额顶网络", IF(H40=7, "默认网络", IF(H40=8, "下皮层网络", ""))))))))</f>
        <v>默认网络</v>
      </c>
      <c r="K40">
        <v>6</v>
      </c>
    </row>
    <row r="41" spans="1:11" x14ac:dyDescent="0.2">
      <c r="A41">
        <v>40</v>
      </c>
      <c r="B41" s="18">
        <v>25.381799999999899</v>
      </c>
      <c r="C41" s="18">
        <v>-15.146799999999899</v>
      </c>
      <c r="D41" s="18">
        <v>-20.470199999999899</v>
      </c>
      <c r="E41" s="4" t="s">
        <v>89</v>
      </c>
      <c r="F41" s="4" t="s">
        <v>90</v>
      </c>
      <c r="G41" s="11" t="s">
        <v>84</v>
      </c>
      <c r="H41">
        <v>7</v>
      </c>
      <c r="I41" t="str">
        <f>IF(J41="视觉网络", "Visual Network",
    IF(J41="感觉运动网络", "Sensorimotor Network",
    IF(J41="背侧注意网络", "Dorsal Attention Network",
    IF(J41="腹侧注意网络", "Ventral Attention Network",
    IF(J41="边缘网络", "Limbic Network",
    IF(J41="额顶网络", "Frontoparietal Network",
    IF(J41="默认网络", "Default Mode Network",
    IF(J41="基底节网络", "Basal Ganglia Network", ""))))))))</f>
        <v>Default Mode Network</v>
      </c>
      <c r="J41" t="str">
        <f>IF(H41=1, "视觉网络", IF(H41=2, "感觉运动网络", IF(H41=3, "背侧注意网络", IF(H41=4, "腹侧注意网络", IF(H41=5, "边缘网络", IF(H41=6, "额顶网络", IF(H41=7, "默认网络", IF(H41=8, "下皮层网络", ""))))))))</f>
        <v>默认网络</v>
      </c>
      <c r="K41">
        <v>6</v>
      </c>
    </row>
    <row r="42" spans="1:11" x14ac:dyDescent="0.2">
      <c r="A42">
        <v>41</v>
      </c>
      <c r="B42" s="18">
        <v>-23.268899999999999</v>
      </c>
      <c r="C42" s="18">
        <v>-0.66710000000000402</v>
      </c>
      <c r="D42" s="18">
        <v>-17.141399999999901</v>
      </c>
      <c r="E42" s="4" t="s">
        <v>91</v>
      </c>
      <c r="F42" s="4" t="s">
        <v>92</v>
      </c>
      <c r="G42" s="11" t="s">
        <v>84</v>
      </c>
      <c r="H42">
        <v>5</v>
      </c>
      <c r="I42" t="str">
        <f>IF(J42="视觉网络", "Visual Network",
    IF(J42="感觉运动网络", "Sensorimotor Network",
    IF(J42="背侧注意网络", "Dorsal Attention Network",
    IF(J42="腹侧注意网络", "Ventral Attention Network",
    IF(J42="边缘网络", "Limbic Network",
    IF(J42="额顶网络", "Frontoparietal Network",
    IF(J42="默认网络", "Default Mode Network",
    IF(J42="基底节网络", "Basal Ganglia Network", ""))))))))</f>
        <v>Limbic Network</v>
      </c>
      <c r="J42" t="str">
        <f>IF(H42=1, "视觉网络", IF(H42=2, "感觉运动网络", IF(H42=3, "背侧注意网络", IF(H42=4, "腹侧注意网络", IF(H42=5, "边缘网络", IF(H42=6, "额顶网络", IF(H42=7, "默认网络", IF(H42=8, "下皮层网络", ""))))))))</f>
        <v>边缘网络</v>
      </c>
      <c r="K42">
        <v>4</v>
      </c>
    </row>
    <row r="43" spans="1:11" x14ac:dyDescent="0.2">
      <c r="A43">
        <v>42</v>
      </c>
      <c r="B43" s="18">
        <v>27.319099999999999</v>
      </c>
      <c r="C43" s="18">
        <v>0.63870000000000005</v>
      </c>
      <c r="D43" s="18">
        <v>-17.502800000000001</v>
      </c>
      <c r="E43" s="4" t="s">
        <v>93</v>
      </c>
      <c r="F43" s="4" t="s">
        <v>94</v>
      </c>
      <c r="G43" s="11" t="s">
        <v>84</v>
      </c>
      <c r="H43">
        <v>5</v>
      </c>
      <c r="I43" t="str">
        <f>IF(J43="视觉网络", "Visual Network",
    IF(J43="感觉运动网络", "Sensorimotor Network",
    IF(J43="背侧注意网络", "Dorsal Attention Network",
    IF(J43="腹侧注意网络", "Ventral Attention Network",
    IF(J43="边缘网络", "Limbic Network",
    IF(J43="额顶网络", "Frontoparietal Network",
    IF(J43="默认网络", "Default Mode Network",
    IF(J43="基底节网络", "Basal Ganglia Network", ""))))))))</f>
        <v>Limbic Network</v>
      </c>
      <c r="J43" t="str">
        <f>IF(H43=1, "视觉网络", IF(H43=2, "感觉运动网络", IF(H43=3, "背侧注意网络", IF(H43=4, "腹侧注意网络", IF(H43=5, "边缘网络", IF(H43=6, "额顶网络", IF(H43=7, "默认网络", IF(H43=8, "下皮层网络", ""))))))))</f>
        <v>边缘网络</v>
      </c>
      <c r="K43">
        <v>4</v>
      </c>
    </row>
    <row r="44" spans="1:11" x14ac:dyDescent="0.2">
      <c r="A44">
        <v>43</v>
      </c>
      <c r="B44" s="18">
        <v>-7.1417000000000002</v>
      </c>
      <c r="C44" s="18">
        <v>-78.667000000000002</v>
      </c>
      <c r="D44" s="18">
        <v>6.4391999999999898</v>
      </c>
      <c r="E44" s="4" t="s">
        <v>339</v>
      </c>
      <c r="F44" s="4" t="s">
        <v>96</v>
      </c>
      <c r="G44" s="11" t="s">
        <v>97</v>
      </c>
      <c r="H44">
        <v>1</v>
      </c>
      <c r="I44" t="str">
        <f>IF(J44="视觉网络", "Visual Network",
    IF(J44="感觉运动网络", "Sensorimotor Network",
    IF(J44="背侧注意网络", "Dorsal Attention Network",
    IF(J44="腹侧注意网络", "Ventral Attention Network",
    IF(J44="边缘网络", "Limbic Network",
    IF(J44="额顶网络", "Frontoparietal Network",
    IF(J44="默认网络", "Default Mode Network",
    IF(J44="基底节网络", "Basal Ganglia Network", ""))))))))</f>
        <v>Visual Network</v>
      </c>
      <c r="J44" t="str">
        <f>IF(H44=1, "视觉网络", IF(H44=2, "感觉运动网络", IF(H44=3, "背侧注意网络", IF(H44=4, "腹侧注意网络", IF(H44=5, "边缘网络", IF(H44=6, "额顶网络", IF(H44=7, "默认网络", IF(H44=8, "下皮层网络", ""))))))))</f>
        <v>视觉网络</v>
      </c>
      <c r="K44">
        <v>1</v>
      </c>
    </row>
    <row r="45" spans="1:11" x14ac:dyDescent="0.2">
      <c r="A45">
        <v>44</v>
      </c>
      <c r="B45" s="18">
        <v>15.994199999999999</v>
      </c>
      <c r="C45" s="18">
        <v>-73.148300000000006</v>
      </c>
      <c r="D45" s="18">
        <v>9.4047999999999892</v>
      </c>
      <c r="E45" s="4" t="s">
        <v>98</v>
      </c>
      <c r="F45" s="4" t="s">
        <v>99</v>
      </c>
      <c r="G45" s="11" t="s">
        <v>97</v>
      </c>
      <c r="H45">
        <v>1</v>
      </c>
      <c r="I45" t="str">
        <f>IF(J45="视觉网络", "Visual Network",
    IF(J45="感觉运动网络", "Sensorimotor Network",
    IF(J45="背侧注意网络", "Dorsal Attention Network",
    IF(J45="腹侧注意网络", "Ventral Attention Network",
    IF(J45="边缘网络", "Limbic Network",
    IF(J45="额顶网络", "Frontoparietal Network",
    IF(J45="默认网络", "Default Mode Network",
    IF(J45="基底节网络", "Basal Ganglia Network", ""))))))))</f>
        <v>Visual Network</v>
      </c>
      <c r="J45" t="str">
        <f>IF(H45=1, "视觉网络", IF(H45=2, "感觉运动网络", IF(H45=3, "背侧注意网络", IF(H45=4, "腹侧注意网络", IF(H45=5, "边缘网络", IF(H45=6, "额顶网络", IF(H45=7, "默认网络", IF(H45=8, "下皮层网络", ""))))))))</f>
        <v>视觉网络</v>
      </c>
      <c r="K45">
        <v>1</v>
      </c>
    </row>
    <row r="46" spans="1:11" x14ac:dyDescent="0.2">
      <c r="A46">
        <v>45</v>
      </c>
      <c r="B46" s="18">
        <v>-5.9339999999999904</v>
      </c>
      <c r="C46" s="18">
        <v>-80.133600000000001</v>
      </c>
      <c r="D46" s="18">
        <v>27.223500000000001</v>
      </c>
      <c r="E46" s="4" t="s">
        <v>100</v>
      </c>
      <c r="F46" s="4" t="s">
        <v>101</v>
      </c>
      <c r="G46" s="11" t="s">
        <v>97</v>
      </c>
      <c r="H46">
        <v>1</v>
      </c>
      <c r="I46" t="str">
        <f>IF(J46="视觉网络", "Visual Network",
    IF(J46="感觉运动网络", "Sensorimotor Network",
    IF(J46="背侧注意网络", "Dorsal Attention Network",
    IF(J46="腹侧注意网络", "Ventral Attention Network",
    IF(J46="边缘网络", "Limbic Network",
    IF(J46="额顶网络", "Frontoparietal Network",
    IF(J46="默认网络", "Default Mode Network",
    IF(J46="基底节网络", "Basal Ganglia Network", ""))))))))</f>
        <v>Visual Network</v>
      </c>
      <c r="J46" t="str">
        <f>IF(H46=1, "视觉网络", IF(H46=2, "感觉运动网络", IF(H46=3, "背侧注意网络", IF(H46=4, "腹侧注意网络", IF(H46=5, "边缘网络", IF(H46=6, "额顶网络", IF(H46=7, "默认网络", IF(H46=8, "下皮层网络", ""))))))))</f>
        <v>视觉网络</v>
      </c>
      <c r="K46">
        <v>1</v>
      </c>
    </row>
    <row r="47" spans="1:11" x14ac:dyDescent="0.2">
      <c r="A47">
        <v>46</v>
      </c>
      <c r="B47" s="18">
        <v>13.5109999999999</v>
      </c>
      <c r="C47" s="18">
        <v>-79.358199999999897</v>
      </c>
      <c r="D47" s="18">
        <v>28.228399999999901</v>
      </c>
      <c r="E47" s="4" t="s">
        <v>102</v>
      </c>
      <c r="F47" s="4" t="s">
        <v>103</v>
      </c>
      <c r="G47" s="11" t="s">
        <v>97</v>
      </c>
      <c r="H47">
        <v>1</v>
      </c>
      <c r="I47" t="str">
        <f>IF(J47="视觉网络", "Visual Network",
    IF(J47="感觉运动网络", "Sensorimotor Network",
    IF(J47="背侧注意网络", "Dorsal Attention Network",
    IF(J47="腹侧注意网络", "Ventral Attention Network",
    IF(J47="边缘网络", "Limbic Network",
    IF(J47="额顶网络", "Frontoparietal Network",
    IF(J47="默认网络", "Default Mode Network",
    IF(J47="基底节网络", "Basal Ganglia Network", ""))))))))</f>
        <v>Visual Network</v>
      </c>
      <c r="J47" t="str">
        <f>IF(H47=1, "视觉网络", IF(H47=2, "感觉运动网络", IF(H47=3, "背侧注意网络", IF(H47=4, "腹侧注意网络", IF(H47=5, "边缘网络", IF(H47=6, "额顶网络", IF(H47=7, "默认网络", IF(H47=8, "下皮层网络", ""))))))))</f>
        <v>视觉网络</v>
      </c>
      <c r="K47">
        <v>1</v>
      </c>
    </row>
    <row r="48" spans="1:11" x14ac:dyDescent="0.2">
      <c r="A48">
        <v>47</v>
      </c>
      <c r="B48" s="18">
        <v>-14.616899999999999</v>
      </c>
      <c r="C48" s="18">
        <v>-67.555000000000007</v>
      </c>
      <c r="D48" s="18">
        <v>-4.6329000000000002</v>
      </c>
      <c r="E48" s="4" t="s">
        <v>104</v>
      </c>
      <c r="F48" s="4" t="s">
        <v>105</v>
      </c>
      <c r="G48" s="11" t="s">
        <v>97</v>
      </c>
      <c r="H48">
        <v>1</v>
      </c>
      <c r="I48" t="str">
        <f>IF(J48="视觉网络", "Visual Network",
    IF(J48="感觉运动网络", "Sensorimotor Network",
    IF(J48="背侧注意网络", "Dorsal Attention Network",
    IF(J48="腹侧注意网络", "Ventral Attention Network",
    IF(J48="边缘网络", "Limbic Network",
    IF(J48="额顶网络", "Frontoparietal Network",
    IF(J48="默认网络", "Default Mode Network",
    IF(J48="基底节网络", "Basal Ganglia Network", ""))))))))</f>
        <v>Visual Network</v>
      </c>
      <c r="J48" t="str">
        <f>IF(H48=1, "视觉网络", IF(H48=2, "感觉运动网络", IF(H48=3, "背侧注意网络", IF(H48=4, "腹侧注意网络", IF(H48=5, "边缘网络", IF(H48=6, "额顶网络", IF(H48=7, "默认网络", IF(H48=8, "下皮层网络", ""))))))))</f>
        <v>视觉网络</v>
      </c>
      <c r="K48">
        <v>1</v>
      </c>
    </row>
    <row r="49" spans="1:11" x14ac:dyDescent="0.2">
      <c r="A49">
        <v>48</v>
      </c>
      <c r="B49" s="18">
        <v>16.289899999999999</v>
      </c>
      <c r="C49" s="18">
        <v>-66.925899999999899</v>
      </c>
      <c r="D49" s="18">
        <v>-3.8746999999999998</v>
      </c>
      <c r="E49" s="4" t="s">
        <v>106</v>
      </c>
      <c r="F49" s="4" t="s">
        <v>107</v>
      </c>
      <c r="G49" s="11" t="s">
        <v>97</v>
      </c>
      <c r="H49">
        <v>1</v>
      </c>
      <c r="I49" t="str">
        <f>IF(J49="视觉网络", "Visual Network",
    IF(J49="感觉运动网络", "Sensorimotor Network",
    IF(J49="背侧注意网络", "Dorsal Attention Network",
    IF(J49="腹侧注意网络", "Ventral Attention Network",
    IF(J49="边缘网络", "Limbic Network",
    IF(J49="额顶网络", "Frontoparietal Network",
    IF(J49="默认网络", "Default Mode Network",
    IF(J49="基底节网络", "Basal Ganglia Network", ""))))))))</f>
        <v>Visual Network</v>
      </c>
      <c r="J49" t="str">
        <f>IF(H49=1, "视觉网络", IF(H49=2, "感觉运动网络", IF(H49=3, "背侧注意网络", IF(H49=4, "腹侧注意网络", IF(H49=5, "边缘网络", IF(H49=6, "额顶网络", IF(H49=7, "默认网络", IF(H49=8, "下皮层网络", ""))))))))</f>
        <v>视觉网络</v>
      </c>
      <c r="K49">
        <v>1</v>
      </c>
    </row>
    <row r="50" spans="1:11" x14ac:dyDescent="0.2">
      <c r="A50">
        <v>49</v>
      </c>
      <c r="B50" s="18">
        <v>-16.540700000000001</v>
      </c>
      <c r="C50" s="18">
        <v>-84.262299999999996</v>
      </c>
      <c r="D50" s="18">
        <v>28.165299999999998</v>
      </c>
      <c r="E50" s="4" t="s">
        <v>108</v>
      </c>
      <c r="F50" s="4" t="s">
        <v>109</v>
      </c>
      <c r="G50" s="11" t="s">
        <v>97</v>
      </c>
      <c r="H50">
        <v>1</v>
      </c>
      <c r="I50" t="str">
        <f>IF(J50="视觉网络", "Visual Network",
    IF(J50="感觉运动网络", "Sensorimotor Network",
    IF(J50="背侧注意网络", "Dorsal Attention Network",
    IF(J50="腹侧注意网络", "Ventral Attention Network",
    IF(J50="边缘网络", "Limbic Network",
    IF(J50="额顶网络", "Frontoparietal Network",
    IF(J50="默认网络", "Default Mode Network",
    IF(J50="基底节网络", "Basal Ganglia Network", ""))))))))</f>
        <v>Visual Network</v>
      </c>
      <c r="J50" t="str">
        <f>IF(H50=1, "视觉网络", IF(H50=2, "感觉运动网络", IF(H50=3, "背侧注意网络", IF(H50=4, "腹侧注意网络", IF(H50=5, "边缘网络", IF(H50=6, "额顶网络", IF(H50=7, "默认网络", IF(H50=8, "下皮层网络", ""))))))))</f>
        <v>视觉网络</v>
      </c>
      <c r="K50">
        <v>1</v>
      </c>
    </row>
    <row r="51" spans="1:11" x14ac:dyDescent="0.2">
      <c r="A51">
        <v>50</v>
      </c>
      <c r="B51" s="18">
        <v>24.2914999999999</v>
      </c>
      <c r="C51" s="18">
        <v>-80.853899999999996</v>
      </c>
      <c r="D51" s="18">
        <v>30.587</v>
      </c>
      <c r="E51" s="4" t="s">
        <v>110</v>
      </c>
      <c r="F51" s="4" t="s">
        <v>111</v>
      </c>
      <c r="G51" s="11" t="s">
        <v>97</v>
      </c>
      <c r="H51">
        <v>1</v>
      </c>
      <c r="I51" t="str">
        <f>IF(J51="视觉网络", "Visual Network",
    IF(J51="感觉运动网络", "Sensorimotor Network",
    IF(J51="背侧注意网络", "Dorsal Attention Network",
    IF(J51="腹侧注意网络", "Ventral Attention Network",
    IF(J51="边缘网络", "Limbic Network",
    IF(J51="额顶网络", "Frontoparietal Network",
    IF(J51="默认网络", "Default Mode Network",
    IF(J51="基底节网络", "Basal Ganglia Network", ""))))))))</f>
        <v>Visual Network</v>
      </c>
      <c r="J51" t="str">
        <f>IF(H51=1, "视觉网络", IF(H51=2, "感觉运动网络", IF(H51=3, "背侧注意网络", IF(H51=4, "腹侧注意网络", IF(H51=5, "边缘网络", IF(H51=6, "额顶网络", IF(H51=7, "默认网络", IF(H51=8, "下皮层网络", ""))))))))</f>
        <v>视觉网络</v>
      </c>
      <c r="K51">
        <v>1</v>
      </c>
    </row>
    <row r="52" spans="1:11" x14ac:dyDescent="0.2">
      <c r="A52">
        <v>51</v>
      </c>
      <c r="B52" s="18">
        <v>-32.388500000000001</v>
      </c>
      <c r="C52" s="18">
        <v>-80.7316</v>
      </c>
      <c r="D52" s="18">
        <v>16.114799999999999</v>
      </c>
      <c r="E52" s="4" t="s">
        <v>112</v>
      </c>
      <c r="F52" s="4" t="s">
        <v>113</v>
      </c>
      <c r="G52" s="11" t="s">
        <v>97</v>
      </c>
      <c r="H52">
        <v>1</v>
      </c>
      <c r="I52" t="str">
        <f>IF(J52="视觉网络", "Visual Network",
    IF(J52="感觉运动网络", "Sensorimotor Network",
    IF(J52="背侧注意网络", "Dorsal Attention Network",
    IF(J52="腹侧注意网络", "Ventral Attention Network",
    IF(J52="边缘网络", "Limbic Network",
    IF(J52="额顶网络", "Frontoparietal Network",
    IF(J52="默认网络", "Default Mode Network",
    IF(J52="基底节网络", "Basal Ganglia Network", ""))))))))</f>
        <v>Visual Network</v>
      </c>
      <c r="J52" t="str">
        <f>IF(H52=1, "视觉网络", IF(H52=2, "感觉运动网络", IF(H52=3, "背侧注意网络", IF(H52=4, "腹侧注意网络", IF(H52=5, "边缘网络", IF(H52=6, "额顶网络", IF(H52=7, "默认网络", IF(H52=8, "下皮层网络", ""))))))))</f>
        <v>视觉网络</v>
      </c>
      <c r="K52">
        <v>1</v>
      </c>
    </row>
    <row r="53" spans="1:11" x14ac:dyDescent="0.2">
      <c r="A53">
        <v>52</v>
      </c>
      <c r="B53" s="18">
        <v>37.387699999999903</v>
      </c>
      <c r="C53" s="18">
        <v>-79.7045999999999</v>
      </c>
      <c r="D53" s="18">
        <v>19.415800000000001</v>
      </c>
      <c r="E53" s="4" t="s">
        <v>114</v>
      </c>
      <c r="F53" s="4" t="s">
        <v>115</v>
      </c>
      <c r="G53" s="11" t="s">
        <v>97</v>
      </c>
      <c r="H53">
        <v>1</v>
      </c>
      <c r="I53" t="str">
        <f>IF(J53="视觉网络", "Visual Network",
    IF(J53="感觉运动网络", "Sensorimotor Network",
    IF(J53="背侧注意网络", "Dorsal Attention Network",
    IF(J53="腹侧注意网络", "Ventral Attention Network",
    IF(J53="边缘网络", "Limbic Network",
    IF(J53="额顶网络", "Frontoparietal Network",
    IF(J53="默认网络", "Default Mode Network",
    IF(J53="基底节网络", "Basal Ganglia Network", ""))))))))</f>
        <v>Visual Network</v>
      </c>
      <c r="J53" t="str">
        <f>IF(H53=1, "视觉网络", IF(H53=2, "感觉运动网络", IF(H53=3, "背侧注意网络", IF(H53=4, "腹侧注意网络", IF(H53=5, "边缘网络", IF(H53=6, "额顶网络", IF(H53=7, "默认网络", IF(H53=8, "下皮层网络", ""))))))))</f>
        <v>视觉网络</v>
      </c>
      <c r="K53">
        <v>1</v>
      </c>
    </row>
    <row r="54" spans="1:11" x14ac:dyDescent="0.2">
      <c r="A54">
        <v>53</v>
      </c>
      <c r="B54" s="18">
        <v>-36.358699999999899</v>
      </c>
      <c r="C54" s="18">
        <v>-78.293000000000006</v>
      </c>
      <c r="D54" s="18">
        <v>-7.8442999999999996</v>
      </c>
      <c r="E54" s="4" t="s">
        <v>116</v>
      </c>
      <c r="F54" s="4" t="s">
        <v>117</v>
      </c>
      <c r="G54" s="11" t="s">
        <v>97</v>
      </c>
      <c r="H54">
        <v>1</v>
      </c>
      <c r="I54" t="str">
        <f>IF(J54="视觉网络", "Visual Network",
    IF(J54="感觉运动网络", "Sensorimotor Network",
    IF(J54="背侧注意网络", "Dorsal Attention Network",
    IF(J54="腹侧注意网络", "Ventral Attention Network",
    IF(J54="边缘网络", "Limbic Network",
    IF(J54="额顶网络", "Frontoparietal Network",
    IF(J54="默认网络", "Default Mode Network",
    IF(J54="基底节网络", "Basal Ganglia Network", ""))))))))</f>
        <v>Visual Network</v>
      </c>
      <c r="J54" t="str">
        <f>IF(H54=1, "视觉网络", IF(H54=2, "感觉运动网络", IF(H54=3, "背侧注意网络", IF(H54=4, "腹侧注意网络", IF(H54=5, "边缘网络", IF(H54=6, "额顶网络", IF(H54=7, "默认网络", IF(H54=8, "下皮层网络", ""))))))))</f>
        <v>视觉网络</v>
      </c>
      <c r="K54">
        <v>1</v>
      </c>
    </row>
    <row r="55" spans="1:11" x14ac:dyDescent="0.2">
      <c r="A55">
        <v>54</v>
      </c>
      <c r="B55" s="18">
        <v>38.158700000000003</v>
      </c>
      <c r="C55" s="18">
        <v>-81.993099999999899</v>
      </c>
      <c r="D55" s="18">
        <v>-7.6132</v>
      </c>
      <c r="E55" s="4" t="s">
        <v>118</v>
      </c>
      <c r="F55" s="4" t="s">
        <v>119</v>
      </c>
      <c r="G55" s="11" t="s">
        <v>97</v>
      </c>
      <c r="H55">
        <v>1</v>
      </c>
      <c r="I55" t="str">
        <f>IF(J55="视觉网络", "Visual Network",
    IF(J55="感觉运动网络", "Sensorimotor Network",
    IF(J55="背侧注意网络", "Dorsal Attention Network",
    IF(J55="腹侧注意网络", "Ventral Attention Network",
    IF(J55="边缘网络", "Limbic Network",
    IF(J55="额顶网络", "Frontoparietal Network",
    IF(J55="默认网络", "Default Mode Network",
    IF(J55="基底节网络", "Basal Ganglia Network", ""))))))))</f>
        <v>Visual Network</v>
      </c>
      <c r="J55" t="str">
        <f>IF(H55=1, "视觉网络", IF(H55=2, "感觉运动网络", IF(H55=3, "背侧注意网络", IF(H55=4, "腹侧注意网络", IF(H55=5, "边缘网络", IF(H55=6, "额顶网络", IF(H55=7, "默认网络", IF(H55=8, "下皮层网络", ""))))))))</f>
        <v>视觉网络</v>
      </c>
      <c r="K55">
        <v>1</v>
      </c>
    </row>
    <row r="56" spans="1:11" x14ac:dyDescent="0.2">
      <c r="A56">
        <v>55</v>
      </c>
      <c r="B56" s="18">
        <v>-31.159300000000002</v>
      </c>
      <c r="C56" s="18">
        <v>-40.297799999999903</v>
      </c>
      <c r="D56" s="18">
        <v>-20.228200000000001</v>
      </c>
      <c r="E56" s="4" t="s">
        <v>120</v>
      </c>
      <c r="F56" s="4" t="s">
        <v>121</v>
      </c>
      <c r="G56" s="11" t="s">
        <v>84</v>
      </c>
      <c r="H56">
        <v>1</v>
      </c>
      <c r="I56" t="str">
        <f>IF(J56="视觉网络", "Visual Network",
    IF(J56="感觉运动网络", "Sensorimotor Network",
    IF(J56="背侧注意网络", "Dorsal Attention Network",
    IF(J56="腹侧注意网络", "Ventral Attention Network",
    IF(J56="边缘网络", "Limbic Network",
    IF(J56="额顶网络", "Frontoparietal Network",
    IF(J56="默认网络", "Default Mode Network",
    IF(J56="基底节网络", "Basal Ganglia Network", ""))))))))</f>
        <v>Visual Network</v>
      </c>
      <c r="J56" t="str">
        <f>IF(H56=1, "视觉网络", IF(H56=2, "感觉运动网络", IF(H56=3, "背侧注意网络", IF(H56=4, "腹侧注意网络", IF(H56=5, "边缘网络", IF(H56=6, "额顶网络", IF(H56=7, "默认网络", IF(H56=8, "下皮层网络", ""))))))))</f>
        <v>视觉网络</v>
      </c>
      <c r="K56">
        <v>1</v>
      </c>
    </row>
    <row r="57" spans="1:11" x14ac:dyDescent="0.2">
      <c r="A57">
        <v>56</v>
      </c>
      <c r="B57" s="18">
        <v>33.9681</v>
      </c>
      <c r="C57" s="18">
        <v>-39.101699999999902</v>
      </c>
      <c r="D57" s="18">
        <v>-20.1784</v>
      </c>
      <c r="E57" s="4" t="s">
        <v>122</v>
      </c>
      <c r="F57" s="4" t="s">
        <v>123</v>
      </c>
      <c r="G57" s="11" t="s">
        <v>84</v>
      </c>
      <c r="H57">
        <v>1</v>
      </c>
      <c r="I57" t="str">
        <f>IF(J57="视觉网络", "Visual Network",
    IF(J57="感觉运动网络", "Sensorimotor Network",
    IF(J57="背侧注意网络", "Dorsal Attention Network",
    IF(J57="腹侧注意网络", "Ventral Attention Network",
    IF(J57="边缘网络", "Limbic Network",
    IF(J57="额顶网络", "Frontoparietal Network",
    IF(J57="默认网络", "Default Mode Network",
    IF(J57="基底节网络", "Basal Ganglia Network", ""))))))))</f>
        <v>Visual Network</v>
      </c>
      <c r="J57" t="str">
        <f>IF(H57=1, "视觉网络", IF(H57=2, "感觉运动网络", IF(H57=3, "背侧注意网络", IF(H57=4, "腹侧注意网络", IF(H57=5, "边缘网络", IF(H57=6, "额顶网络", IF(H57=7, "默认网络", IF(H57=8, "下皮层网络", ""))))))))</f>
        <v>视觉网络</v>
      </c>
      <c r="K57">
        <v>1</v>
      </c>
    </row>
    <row r="58" spans="1:11" x14ac:dyDescent="0.2">
      <c r="A58">
        <v>57</v>
      </c>
      <c r="B58" s="18">
        <v>-42.462400000000002</v>
      </c>
      <c r="C58" s="18">
        <v>-22.6312999999999</v>
      </c>
      <c r="D58" s="18">
        <v>48.917199999999902</v>
      </c>
      <c r="E58" s="4" t="s">
        <v>124</v>
      </c>
      <c r="F58" s="4" t="s">
        <v>125</v>
      </c>
      <c r="G58" s="11" t="s">
        <v>79</v>
      </c>
      <c r="H58">
        <v>2</v>
      </c>
      <c r="I58" t="str">
        <f>IF(J58="视觉网络", "Visual Network",
    IF(J58="感觉运动网络", "Sensorimotor Network",
    IF(J58="背侧注意网络", "Dorsal Attention Network",
    IF(J58="腹侧注意网络", "Ventral Attention Network",
    IF(J58="边缘网络", "Limbic Network",
    IF(J58="额顶网络", "Frontoparietal Network",
    IF(J58="默认网络", "Default Mode Network",
    IF(J58="基底节网络", "Basal Ganglia Network", ""))))))))</f>
        <v>Sensorimotor Network</v>
      </c>
      <c r="J58" t="str">
        <f>IF(H58=1, "视觉网络", IF(H58=2, "感觉运动网络", IF(H58=3, "背侧注意网络", IF(H58=4, "腹侧注意网络", IF(H58=5, "边缘网络", IF(H58=6, "额顶网络", IF(H58=7, "默认网络", IF(H58=8, "下皮层网络", ""))))))))</f>
        <v>感觉运动网络</v>
      </c>
      <c r="K58">
        <v>2</v>
      </c>
    </row>
    <row r="59" spans="1:11" x14ac:dyDescent="0.2">
      <c r="A59">
        <v>58</v>
      </c>
      <c r="B59" s="18">
        <v>41.428400000000003</v>
      </c>
      <c r="C59" s="18">
        <v>-25.493099999999899</v>
      </c>
      <c r="D59" s="18">
        <v>52.545000000000002</v>
      </c>
      <c r="E59" s="4" t="s">
        <v>126</v>
      </c>
      <c r="F59" s="4" t="s">
        <v>127</v>
      </c>
      <c r="G59" s="11" t="s">
        <v>79</v>
      </c>
      <c r="H59">
        <v>2</v>
      </c>
      <c r="I59" t="str">
        <f>IF(J59="视觉网络", "Visual Network",
    IF(J59="感觉运动网络", "Sensorimotor Network",
    IF(J59="背侧注意网络", "Dorsal Attention Network",
    IF(J59="腹侧注意网络", "Ventral Attention Network",
    IF(J59="边缘网络", "Limbic Network",
    IF(J59="额顶网络", "Frontoparietal Network",
    IF(J59="默认网络", "Default Mode Network",
    IF(J59="基底节网络", "Basal Ganglia Network", ""))))))))</f>
        <v>Sensorimotor Network</v>
      </c>
      <c r="J59" t="str">
        <f>IF(H59=1, "视觉网络", IF(H59=2, "感觉运动网络", IF(H59=3, "背侧注意网络", IF(H59=4, "腹侧注意网络", IF(H59=5, "边缘网络", IF(H59=6, "额顶网络", IF(H59=7, "默认网络", IF(H59=8, "下皮层网络", ""))))))))</f>
        <v>感觉运动网络</v>
      </c>
      <c r="K59">
        <v>2</v>
      </c>
    </row>
    <row r="60" spans="1:11" x14ac:dyDescent="0.2">
      <c r="A60">
        <v>59</v>
      </c>
      <c r="B60" s="18">
        <v>-23.453599999999899</v>
      </c>
      <c r="C60" s="18">
        <v>-59.557199999999902</v>
      </c>
      <c r="D60" s="18">
        <v>58.960099999999997</v>
      </c>
      <c r="E60" s="4" t="s">
        <v>128</v>
      </c>
      <c r="F60" s="4" t="s">
        <v>129</v>
      </c>
      <c r="G60" s="11" t="s">
        <v>79</v>
      </c>
      <c r="H60">
        <v>3</v>
      </c>
      <c r="I60" t="str">
        <f>IF(J60="视觉网络", "Visual Network",
    IF(J60="感觉运动网络", "Sensorimotor Network",
    IF(J60="背侧注意网络", "Dorsal Attention Network",
    IF(J60="腹侧注意网络", "Ventral Attention Network",
    IF(J60="边缘网络", "Limbic Network",
    IF(J60="额顶网络", "Frontoparietal Network",
    IF(J60="默认网络", "Default Mode Network",
    IF(J60="基底节网络", "Basal Ganglia Network", ""))))))))</f>
        <v>Dorsal Attention Network</v>
      </c>
      <c r="J60" t="str">
        <f>IF(H60=1, "视觉网络", IF(H60=2, "感觉运动网络", IF(H60=3, "背侧注意网络", IF(H60=4, "腹侧注意网络", IF(H60=5, "边缘网络", IF(H60=6, "额顶网络", IF(H60=7, "默认网络", IF(H60=8, "下皮层网络", ""))))))))</f>
        <v>背侧注意网络</v>
      </c>
      <c r="K60">
        <v>3</v>
      </c>
    </row>
    <row r="61" spans="1:11" x14ac:dyDescent="0.2">
      <c r="A61">
        <v>60</v>
      </c>
      <c r="B61" s="18">
        <v>26.105799999999999</v>
      </c>
      <c r="C61" s="18">
        <v>-59.1798</v>
      </c>
      <c r="D61" s="18">
        <v>62.061799999999998</v>
      </c>
      <c r="E61" s="4" t="s">
        <v>130</v>
      </c>
      <c r="F61" s="4" t="s">
        <v>131</v>
      </c>
      <c r="G61" s="11" t="s">
        <v>79</v>
      </c>
      <c r="H61">
        <v>3</v>
      </c>
      <c r="I61" t="str">
        <f>IF(J61="视觉网络", "Visual Network",
    IF(J61="感觉运动网络", "Sensorimotor Network",
    IF(J61="背侧注意网络", "Dorsal Attention Network",
    IF(J61="腹侧注意网络", "Ventral Attention Network",
    IF(J61="边缘网络", "Limbic Network",
    IF(J61="额顶网络", "Frontoparietal Network",
    IF(J61="默认网络", "Default Mode Network",
    IF(J61="基底节网络", "Basal Ganglia Network", ""))))))))</f>
        <v>Dorsal Attention Network</v>
      </c>
      <c r="J61" t="str">
        <f>IF(H61=1, "视觉网络", IF(H61=2, "感觉运动网络", IF(H61=3, "背侧注意网络", IF(H61=4, "腹侧注意网络", IF(H61=5, "边缘网络", IF(H61=6, "额顶网络", IF(H61=7, "默认网络", IF(H61=8, "下皮层网络", ""))))))))</f>
        <v>背侧注意网络</v>
      </c>
      <c r="K61">
        <v>3</v>
      </c>
    </row>
    <row r="62" spans="1:11" x14ac:dyDescent="0.2">
      <c r="A62">
        <v>61</v>
      </c>
      <c r="B62" s="18">
        <v>-42.8036999999999</v>
      </c>
      <c r="C62" s="18">
        <v>-45.819699999999898</v>
      </c>
      <c r="D62" s="18">
        <v>46.740499999999898</v>
      </c>
      <c r="E62" s="4" t="s">
        <v>132</v>
      </c>
      <c r="F62" s="4" t="s">
        <v>133</v>
      </c>
      <c r="G62" s="11" t="s">
        <v>79</v>
      </c>
      <c r="H62">
        <v>6</v>
      </c>
      <c r="I62" t="str">
        <f>IF(J62="视觉网络", "Visual Network",
    IF(J62="感觉运动网络", "Sensorimotor Network",
    IF(J62="背侧注意网络", "Dorsal Attention Network",
    IF(J62="腹侧注意网络", "Ventral Attention Network",
    IF(J62="边缘网络", "Limbic Network",
    IF(J62="额顶网络", "Frontoparietal Network",
    IF(J62="默认网络", "Default Mode Network",
    IF(J62="基底节网络", "Basal Ganglia Network", ""))))))))</f>
        <v>Frontoparietal Network</v>
      </c>
      <c r="J62" t="str">
        <f>IF(H62=1, "视觉网络", IF(H62=2, "感觉运动网络", IF(H62=3, "背侧注意网络", IF(H62=4, "腹侧注意网络", IF(H62=5, "边缘网络", IF(H62=6, "额顶网络", IF(H62=7, "默认网络", IF(H62=8, "下皮层网络", ""))))))))</f>
        <v>额顶网络</v>
      </c>
      <c r="K62">
        <v>5</v>
      </c>
    </row>
    <row r="63" spans="1:11" x14ac:dyDescent="0.2">
      <c r="A63">
        <v>62</v>
      </c>
      <c r="B63" s="18">
        <v>46.461999999999897</v>
      </c>
      <c r="C63" s="18">
        <v>-46.289699999999897</v>
      </c>
      <c r="D63" s="18">
        <v>49.5350999999999</v>
      </c>
      <c r="E63" s="4" t="s">
        <v>134</v>
      </c>
      <c r="F63" s="4" t="s">
        <v>135</v>
      </c>
      <c r="G63" s="11" t="s">
        <v>79</v>
      </c>
      <c r="H63">
        <v>6</v>
      </c>
      <c r="I63" t="str">
        <f>IF(J63="视觉网络", "Visual Network",
    IF(J63="感觉运动网络", "Sensorimotor Network",
    IF(J63="背侧注意网络", "Dorsal Attention Network",
    IF(J63="腹侧注意网络", "Ventral Attention Network",
    IF(J63="边缘网络", "Limbic Network",
    IF(J63="额顶网络", "Frontoparietal Network",
    IF(J63="默认网络", "Default Mode Network",
    IF(J63="基底节网络", "Basal Ganglia Network", ""))))))))</f>
        <v>Frontoparietal Network</v>
      </c>
      <c r="J63" t="str">
        <f>IF(H63=1, "视觉网络", IF(H63=2, "感觉运动网络", IF(H63=3, "背侧注意网络", IF(H63=4, "腹侧注意网络", IF(H63=5, "边缘网络", IF(H63=6, "额顶网络", IF(H63=7, "默认网络", IF(H63=8, "下皮层网络", ""))))))))</f>
        <v>额顶网络</v>
      </c>
      <c r="K63">
        <v>5</v>
      </c>
    </row>
    <row r="64" spans="1:11" x14ac:dyDescent="0.2">
      <c r="A64">
        <v>63</v>
      </c>
      <c r="B64" s="18">
        <v>-55.7881</v>
      </c>
      <c r="C64" s="18">
        <v>-33.637799999999899</v>
      </c>
      <c r="D64" s="18">
        <v>30.4495</v>
      </c>
      <c r="E64" s="4" t="s">
        <v>136</v>
      </c>
      <c r="F64" s="4" t="s">
        <v>137</v>
      </c>
      <c r="G64" s="11" t="s">
        <v>79</v>
      </c>
      <c r="H64">
        <v>4</v>
      </c>
      <c r="I64" t="str">
        <f>IF(J64="视觉网络", "Visual Network",
    IF(J64="感觉运动网络", "Sensorimotor Network",
    IF(J64="背侧注意网络", "Dorsal Attention Network",
    IF(J64="腹侧注意网络", "Ventral Attention Network",
    IF(J64="边缘网络", "Limbic Network",
    IF(J64="额顶网络", "Frontoparietal Network",
    IF(J64="默认网络", "Default Mode Network",
    IF(J64="基底节网络", "Basal Ganglia Network", ""))))))))</f>
        <v>Ventral Attention Network</v>
      </c>
      <c r="J64" t="str">
        <f>IF(H64=1, "视觉网络", IF(H64=2, "感觉运动网络", IF(H64=3, "背侧注意网络", IF(H64=4, "腹侧注意网络", IF(H64=5, "边缘网络", IF(H64=6, "额顶网络", IF(H64=7, "默认网络", IF(H64=8, "下皮层网络", ""))))))))</f>
        <v>腹侧注意网络</v>
      </c>
      <c r="K64">
        <v>3</v>
      </c>
    </row>
    <row r="65" spans="1:11" x14ac:dyDescent="0.2">
      <c r="A65">
        <v>64</v>
      </c>
      <c r="B65" s="18">
        <v>57.610700000000001</v>
      </c>
      <c r="C65" s="18">
        <v>-31.504899999999999</v>
      </c>
      <c r="D65" s="18">
        <v>34.479999999999997</v>
      </c>
      <c r="E65" s="4" t="s">
        <v>138</v>
      </c>
      <c r="F65" s="4" t="s">
        <v>139</v>
      </c>
      <c r="G65" s="11" t="s">
        <v>79</v>
      </c>
      <c r="H65">
        <v>4</v>
      </c>
      <c r="I65" t="str">
        <f>IF(J65="视觉网络", "Visual Network",
    IF(J65="感觉运动网络", "Sensorimotor Network",
    IF(J65="背侧注意网络", "Dorsal Attention Network",
    IF(J65="腹侧注意网络", "Ventral Attention Network",
    IF(J65="边缘网络", "Limbic Network",
    IF(J65="额顶网络", "Frontoparietal Network",
    IF(J65="默认网络", "Default Mode Network",
    IF(J65="基底节网络", "Basal Ganglia Network", ""))))))))</f>
        <v>Ventral Attention Network</v>
      </c>
      <c r="J65" t="str">
        <f>IF(H65=1, "视觉网络", IF(H65=2, "感觉运动网络", IF(H65=3, "背侧注意网络", IF(H65=4, "腹侧注意网络", IF(H65=5, "边缘网络", IF(H65=6, "额顶网络", IF(H65=7, "默认网络", IF(H65=8, "下皮层网络", ""))))))))</f>
        <v>腹侧注意网络</v>
      </c>
      <c r="K65">
        <v>3</v>
      </c>
    </row>
    <row r="66" spans="1:11" x14ac:dyDescent="0.2">
      <c r="A66">
        <v>65</v>
      </c>
      <c r="B66" s="18">
        <v>-44.141300000000001</v>
      </c>
      <c r="C66" s="18">
        <v>-60.815799999999903</v>
      </c>
      <c r="D66" s="18">
        <v>35.587199999999903</v>
      </c>
      <c r="E66" s="4" t="s">
        <v>140</v>
      </c>
      <c r="F66" s="4" t="s">
        <v>141</v>
      </c>
      <c r="G66" s="11" t="s">
        <v>79</v>
      </c>
      <c r="H66">
        <v>7</v>
      </c>
      <c r="I66" t="str">
        <f>IF(J66="视觉网络", "Visual Network",
    IF(J66="感觉运动网络", "Sensorimotor Network",
    IF(J66="背侧注意网络", "Dorsal Attention Network",
    IF(J66="腹侧注意网络", "Ventral Attention Network",
    IF(J66="边缘网络", "Limbic Network",
    IF(J66="额顶网络", "Frontoparietal Network",
    IF(J66="默认网络", "Default Mode Network",
    IF(J66="基底节网络", "Basal Ganglia Network", ""))))))))</f>
        <v>Default Mode Network</v>
      </c>
      <c r="J66" t="str">
        <f>IF(H66=1, "视觉网络", IF(H66=2, "感觉运动网络", IF(H66=3, "背侧注意网络", IF(H66=4, "腹侧注意网络", IF(H66=5, "边缘网络", IF(H66=6, "额顶网络", IF(H66=7, "默认网络", IF(H66=8, "下皮层网络", ""))))))))</f>
        <v>默认网络</v>
      </c>
      <c r="K66">
        <v>6</v>
      </c>
    </row>
    <row r="67" spans="1:11" x14ac:dyDescent="0.2">
      <c r="A67">
        <v>66</v>
      </c>
      <c r="B67" s="18">
        <v>45.5076999999999</v>
      </c>
      <c r="C67" s="18">
        <v>-59.984699999999997</v>
      </c>
      <c r="D67" s="18">
        <v>38.627699999999997</v>
      </c>
      <c r="E67" s="4" t="s">
        <v>142</v>
      </c>
      <c r="F67" s="4" t="s">
        <v>143</v>
      </c>
      <c r="G67" s="11" t="s">
        <v>79</v>
      </c>
      <c r="H67">
        <v>7</v>
      </c>
      <c r="I67" t="str">
        <f>IF(J67="视觉网络", "Visual Network",
    IF(J67="感觉运动网络", "Sensorimotor Network",
    IF(J67="背侧注意网络", "Dorsal Attention Network",
    IF(J67="腹侧注意网络", "Ventral Attention Network",
    IF(J67="边缘网络", "Limbic Network",
    IF(J67="额顶网络", "Frontoparietal Network",
    IF(J67="默认网络", "Default Mode Network",
    IF(J67="基底节网络", "Basal Ganglia Network", ""))))))))</f>
        <v>Default Mode Network</v>
      </c>
      <c r="J67" t="str">
        <f>IF(H67=1, "视觉网络", IF(H67=2, "感觉运动网络", IF(H67=3, "背侧注意网络", IF(H67=4, "腹侧注意网络", IF(H67=5, "边缘网络", IF(H67=6, "额顶网络", IF(H67=7, "默认网络", IF(H67=8, "下皮层网络", ""))))))))</f>
        <v>默认网络</v>
      </c>
      <c r="K67">
        <v>6</v>
      </c>
    </row>
    <row r="68" spans="1:11" x14ac:dyDescent="0.2">
      <c r="A68">
        <v>67</v>
      </c>
      <c r="B68" s="18">
        <v>-7.2407999999999904</v>
      </c>
      <c r="C68" s="18">
        <v>-56.070899999999902</v>
      </c>
      <c r="D68" s="18">
        <v>48.009</v>
      </c>
      <c r="E68" s="4" t="s">
        <v>144</v>
      </c>
      <c r="F68" s="4" t="s">
        <v>145</v>
      </c>
      <c r="G68" s="11" t="s">
        <v>79</v>
      </c>
      <c r="H68">
        <v>7</v>
      </c>
      <c r="I68" t="str">
        <f>IF(J68="视觉网络", "Visual Network",
    IF(J68="感觉运动网络", "Sensorimotor Network",
    IF(J68="背侧注意网络", "Dorsal Attention Network",
    IF(J68="腹侧注意网络", "Ventral Attention Network",
    IF(J68="边缘网络", "Limbic Network",
    IF(J68="额顶网络", "Frontoparietal Network",
    IF(J68="默认网络", "Default Mode Network",
    IF(J68="基底节网络", "Basal Ganglia Network", ""))))))))</f>
        <v>Default Mode Network</v>
      </c>
      <c r="J68" t="str">
        <f>IF(H68=1, "视觉网络", IF(H68=2, "感觉运动网络", IF(H68=3, "背侧注意网络", IF(H68=4, "腹侧注意网络", IF(H68=5, "边缘网络", IF(H68=6, "额顶网络", IF(H68=7, "默认网络", IF(H68=8, "下皮层网络", ""))))))))</f>
        <v>默认网络</v>
      </c>
      <c r="K68">
        <v>6</v>
      </c>
    </row>
    <row r="69" spans="1:11" x14ac:dyDescent="0.2">
      <c r="A69">
        <v>68</v>
      </c>
      <c r="B69" s="18">
        <v>9.9795999999999996</v>
      </c>
      <c r="C69" s="18">
        <v>-56.049499999999902</v>
      </c>
      <c r="D69" s="18">
        <v>43.769399999999997</v>
      </c>
      <c r="E69" s="4" t="s">
        <v>146</v>
      </c>
      <c r="F69" s="4" t="s">
        <v>147</v>
      </c>
      <c r="G69" s="11" t="s">
        <v>79</v>
      </c>
      <c r="H69">
        <v>7</v>
      </c>
      <c r="I69" t="str">
        <f>IF(J69="视觉网络", "Visual Network",
    IF(J69="感觉运动网络", "Sensorimotor Network",
    IF(J69="背侧注意网络", "Dorsal Attention Network",
    IF(J69="腹侧注意网络", "Ventral Attention Network",
    IF(J69="边缘网络", "Limbic Network",
    IF(J69="额顶网络", "Frontoparietal Network",
    IF(J69="默认网络", "Default Mode Network",
    IF(J69="基底节网络", "Basal Ganglia Network", ""))))))))</f>
        <v>Default Mode Network</v>
      </c>
      <c r="J69" t="str">
        <f>IF(H69=1, "视觉网络", IF(H69=2, "感觉运动网络", IF(H69=3, "背侧注意网络", IF(H69=4, "腹侧注意网络", IF(H69=5, "边缘网络", IF(H69=6, "额顶网络", IF(H69=7, "默认网络", IF(H69=8, "下皮层网络", ""))))))))</f>
        <v>默认网络</v>
      </c>
      <c r="K69">
        <v>6</v>
      </c>
    </row>
    <row r="70" spans="1:11" x14ac:dyDescent="0.2">
      <c r="A70">
        <v>69</v>
      </c>
      <c r="B70" s="18">
        <v>-7.6300999999999899</v>
      </c>
      <c r="C70" s="18">
        <v>-25.3645999999999</v>
      </c>
      <c r="D70" s="18">
        <v>70.070300000000003</v>
      </c>
      <c r="E70" s="4" t="s">
        <v>148</v>
      </c>
      <c r="F70" s="4" t="s">
        <v>149</v>
      </c>
      <c r="G70" s="11" t="s">
        <v>79</v>
      </c>
      <c r="H70">
        <v>2</v>
      </c>
      <c r="I70" t="str">
        <f>IF(J70="视觉网络", "Visual Network",
    IF(J70="感觉运动网络", "Sensorimotor Network",
    IF(J70="背侧注意网络", "Dorsal Attention Network",
    IF(J70="腹侧注意网络", "Ventral Attention Network",
    IF(J70="边缘网络", "Limbic Network",
    IF(J70="额顶网络", "Frontoparietal Network",
    IF(J70="默认网络", "Default Mode Network",
    IF(J70="基底节网络", "Basal Ganglia Network", ""))))))))</f>
        <v>Sensorimotor Network</v>
      </c>
      <c r="J70" t="str">
        <f>IF(H70=1, "视觉网络", IF(H70=2, "感觉运动网络", IF(H70=3, "背侧注意网络", IF(H70=4, "腹侧注意网络", IF(H70=5, "边缘网络", IF(H70=6, "额顶网络", IF(H70=7, "默认网络", IF(H70=8, "下皮层网络", ""))))))))</f>
        <v>感觉运动网络</v>
      </c>
      <c r="K70">
        <v>2</v>
      </c>
    </row>
    <row r="71" spans="1:11" x14ac:dyDescent="0.2">
      <c r="A71">
        <v>70</v>
      </c>
      <c r="B71" s="18">
        <v>7.4770999999999903</v>
      </c>
      <c r="C71" s="18">
        <v>-31.587</v>
      </c>
      <c r="D71" s="18">
        <v>68.094099999999898</v>
      </c>
      <c r="E71" s="4" t="s">
        <v>150</v>
      </c>
      <c r="F71" s="4" t="s">
        <v>151</v>
      </c>
      <c r="G71" s="11" t="s">
        <v>79</v>
      </c>
      <c r="H71">
        <v>2</v>
      </c>
      <c r="I71" t="str">
        <f>IF(J71="视觉网络", "Visual Network",
    IF(J71="感觉运动网络", "Sensorimotor Network",
    IF(J71="背侧注意网络", "Dorsal Attention Network",
    IF(J71="腹侧注意网络", "Ventral Attention Network",
    IF(J71="边缘网络", "Limbic Network",
    IF(J71="额顶网络", "Frontoparietal Network",
    IF(J71="默认网络", "Default Mode Network",
    IF(J71="基底节网络", "Basal Ganglia Network", ""))))))))</f>
        <v>Sensorimotor Network</v>
      </c>
      <c r="J71" t="str">
        <f>IF(H71=1, "视觉网络", IF(H71=2, "感觉运动网络", IF(H71=3, "背侧注意网络", IF(H71=4, "腹侧注意网络", IF(H71=5, "边缘网络", IF(H71=6, "额顶网络", IF(H71=7, "默认网络", IF(H71=8, "下皮层网络", ""))))))))</f>
        <v>感觉运动网络</v>
      </c>
      <c r="K71">
        <v>2</v>
      </c>
    </row>
    <row r="72" spans="1:11" x14ac:dyDescent="0.2">
      <c r="A72">
        <v>71</v>
      </c>
      <c r="B72" s="18">
        <v>-11.461899999999901</v>
      </c>
      <c r="C72" s="18">
        <v>10.996</v>
      </c>
      <c r="D72" s="18">
        <v>9.2390999999999899</v>
      </c>
      <c r="E72" s="4" t="s">
        <v>152</v>
      </c>
      <c r="F72" s="4" t="s">
        <v>153</v>
      </c>
      <c r="G72" s="9" t="s">
        <v>66</v>
      </c>
      <c r="H72">
        <v>8</v>
      </c>
      <c r="I72" t="str">
        <f>IF(J72="视觉网络", "Visual Network",
    IF(J72="感觉运动网络", "Sensorimotor Network",
    IF(J72="背侧注意网络", "Dorsal Attention Network",
    IF(J72="腹侧注意网络", "Ventral Attention Network",
    IF(J72="边缘网络", "Limbic Network",
    IF(J72="额顶网络", "Frontoparietal Network",
    IF(J72="默认网络", "Default Mode Network",
    IF(J72="基底节网络", "Basal Ganglia Network", ""))))))))</f>
        <v>Basal Ganglia Network</v>
      </c>
      <c r="J72" t="str">
        <f>IF(H72=1, "视觉网络", IF(H72=2, "感觉运动网络", IF(H72=3, "背侧注意网络", IF(H72=4, "腹侧注意网络", IF(H72=5, "边缘网络", IF(H72=6, "额顶网络", IF(H72=7, "默认网络", IF(H72=8, "基底节网络", ""))))))))</f>
        <v>基底节网络</v>
      </c>
      <c r="K72">
        <v>7</v>
      </c>
    </row>
    <row r="73" spans="1:11" x14ac:dyDescent="0.2">
      <c r="A73">
        <v>72</v>
      </c>
      <c r="B73" s="18">
        <v>14.8362</v>
      </c>
      <c r="C73" s="18">
        <v>12.0742999999999</v>
      </c>
      <c r="D73" s="18">
        <v>9.4151999999999898</v>
      </c>
      <c r="E73" s="4" t="s">
        <v>154</v>
      </c>
      <c r="F73" s="4" t="s">
        <v>155</v>
      </c>
      <c r="G73" s="9" t="s">
        <v>66</v>
      </c>
      <c r="H73">
        <v>8</v>
      </c>
      <c r="I73" t="str">
        <f>IF(J73="视觉网络", "Visual Network",
    IF(J73="感觉运动网络", "Sensorimotor Network",
    IF(J73="背侧注意网络", "Dorsal Attention Network",
    IF(J73="腹侧注意网络", "Ventral Attention Network",
    IF(J73="边缘网络", "Limbic Network",
    IF(J73="额顶网络", "Frontoparietal Network",
    IF(J73="默认网络", "Default Mode Network",
    IF(J73="基底节网络", "Basal Ganglia Network", ""))))))))</f>
        <v>Basal Ganglia Network</v>
      </c>
      <c r="J73" t="str">
        <f>IF(H73=1, "视觉网络", IF(H73=2, "感觉运动网络", IF(H73=3, "背侧注意网络", IF(H73=4, "腹侧注意网络", IF(H73=5, "边缘网络", IF(H73=6, "额顶网络", IF(H73=7, "默认网络", IF(H73=8, "基底节网络", ""))))))))</f>
        <v>基底节网络</v>
      </c>
      <c r="K73">
        <v>7</v>
      </c>
    </row>
    <row r="74" spans="1:11" x14ac:dyDescent="0.2">
      <c r="A74">
        <v>73</v>
      </c>
      <c r="B74" s="18">
        <v>-23.913699999999999</v>
      </c>
      <c r="C74" s="18">
        <v>3.85529999999999</v>
      </c>
      <c r="D74" s="18">
        <v>2.4013</v>
      </c>
      <c r="E74" s="4" t="s">
        <v>156</v>
      </c>
      <c r="F74" s="4" t="s">
        <v>157</v>
      </c>
      <c r="G74" s="9" t="s">
        <v>66</v>
      </c>
      <c r="H74">
        <v>8</v>
      </c>
      <c r="I74" t="str">
        <f>IF(J74="视觉网络", "Visual Network",
    IF(J74="感觉运动网络", "Sensorimotor Network",
    IF(J74="背侧注意网络", "Dorsal Attention Network",
    IF(J74="腹侧注意网络", "Ventral Attention Network",
    IF(J74="边缘网络", "Limbic Network",
    IF(J74="额顶网络", "Frontoparietal Network",
    IF(J74="默认网络", "Default Mode Network",
    IF(J74="基底节网络", "Basal Ganglia Network", ""))))))))</f>
        <v>Basal Ganglia Network</v>
      </c>
      <c r="J74" t="str">
        <f>IF(H74=1, "视觉网络", IF(H74=2, "感觉运动网络", IF(H74=3, "背侧注意网络", IF(H74=4, "腹侧注意网络", IF(H74=5, "边缘网络", IF(H74=6, "额顶网络", IF(H74=7, "默认网络", IF(H74=8, "基底节网络", ""))))))))</f>
        <v>基底节网络</v>
      </c>
      <c r="K74">
        <v>7</v>
      </c>
    </row>
    <row r="75" spans="1:11" x14ac:dyDescent="0.2">
      <c r="A75">
        <v>74</v>
      </c>
      <c r="B75" s="18">
        <v>27.778700000000001</v>
      </c>
      <c r="C75" s="18">
        <v>4.9128999999999996</v>
      </c>
      <c r="D75" s="18">
        <v>2.4646999999999899</v>
      </c>
      <c r="E75" s="4" t="s">
        <v>158</v>
      </c>
      <c r="F75" s="4" t="s">
        <v>159</v>
      </c>
      <c r="G75" s="9" t="s">
        <v>338</v>
      </c>
      <c r="H75">
        <v>8</v>
      </c>
      <c r="I75" t="str">
        <f>IF(J75="视觉网络", "Visual Network",
    IF(J75="感觉运动网络", "Sensorimotor Network",
    IF(J75="背侧注意网络", "Dorsal Attention Network",
    IF(J75="腹侧注意网络", "Ventral Attention Network",
    IF(J75="边缘网络", "Limbic Network",
    IF(J75="额顶网络", "Frontoparietal Network",
    IF(J75="默认网络", "Default Mode Network",
    IF(J75="基底节网络", "Basal Ganglia Network", ""))))))))</f>
        <v>Basal Ganglia Network</v>
      </c>
      <c r="J75" t="str">
        <f>IF(H75=1, "视觉网络", IF(H75=2, "感觉运动网络", IF(H75=3, "背侧注意网络", IF(H75=4, "腹侧注意网络", IF(H75=5, "边缘网络", IF(H75=6, "额顶网络", IF(H75=7, "默认网络", IF(H75=8, "基底节网络", ""))))))))</f>
        <v>基底节网络</v>
      </c>
      <c r="K75">
        <v>7</v>
      </c>
    </row>
    <row r="76" spans="1:11" x14ac:dyDescent="0.2">
      <c r="A76">
        <v>75</v>
      </c>
      <c r="B76" s="18">
        <v>-17.749700000000001</v>
      </c>
      <c r="C76" s="18">
        <v>-3.1499999999993998E-2</v>
      </c>
      <c r="D76" s="18">
        <v>0.210499999999996</v>
      </c>
      <c r="E76" s="4" t="s">
        <v>160</v>
      </c>
      <c r="F76" s="4" t="s">
        <v>161</v>
      </c>
      <c r="G76" s="9" t="s">
        <v>66</v>
      </c>
      <c r="H76">
        <v>8</v>
      </c>
      <c r="I76" t="str">
        <f>IF(J76="视觉网络", "Visual Network",
    IF(J76="感觉运动网络", "Sensorimotor Network",
    IF(J76="背侧注意网络", "Dorsal Attention Network",
    IF(J76="腹侧注意网络", "Ventral Attention Network",
    IF(J76="边缘网络", "Limbic Network",
    IF(J76="额顶网络", "Frontoparietal Network",
    IF(J76="默认网络", "Default Mode Network",
    IF(J76="基底节网络", "Basal Ganglia Network", ""))))))))</f>
        <v>Basal Ganglia Network</v>
      </c>
      <c r="J76" t="str">
        <f>IF(H76=1, "视觉网络", IF(H76=2, "感觉运动网络", IF(H76=3, "背侧注意网络", IF(H76=4, "腹侧注意网络", IF(H76=5, "边缘网络", IF(H76=6, "额顶网络", IF(H76=7, "默认网络", IF(H76=8, "基底节网络", ""))))))))</f>
        <v>基底节网络</v>
      </c>
      <c r="K76">
        <v>7</v>
      </c>
    </row>
    <row r="77" spans="1:11" x14ac:dyDescent="0.2">
      <c r="A77">
        <v>76</v>
      </c>
      <c r="B77" s="18">
        <v>21.200599999999898</v>
      </c>
      <c r="C77" s="18">
        <v>0.17549999999999899</v>
      </c>
      <c r="D77" s="18">
        <v>0.228099999999997</v>
      </c>
      <c r="E77" s="4" t="s">
        <v>162</v>
      </c>
      <c r="F77" s="4" t="s">
        <v>163</v>
      </c>
      <c r="G77" s="9" t="s">
        <v>66</v>
      </c>
      <c r="H77">
        <v>8</v>
      </c>
      <c r="I77" t="str">
        <f>IF(J77="视觉网络", "Visual Network",
    IF(J77="感觉运动网络", "Sensorimotor Network",
    IF(J77="背侧注意网络", "Dorsal Attention Network",
    IF(J77="腹侧注意网络", "Ventral Attention Network",
    IF(J77="边缘网络", "Limbic Network",
    IF(J77="额顶网络", "Frontoparietal Network",
    IF(J77="默认网络", "Default Mode Network",
    IF(J77="基底节网络", "Basal Ganglia Network", ""))))))))</f>
        <v>Basal Ganglia Network</v>
      </c>
      <c r="J77" t="str">
        <f>IF(H77=1, "视觉网络", IF(H77=2, "感觉运动网络", IF(H77=3, "背侧注意网络", IF(H77=4, "腹侧注意网络", IF(H77=5, "边缘网络", IF(H77=6, "额顶网络", IF(H77=7, "默认网络", IF(H77=8, "基底节网络", ""))))))))</f>
        <v>基底节网络</v>
      </c>
      <c r="K77">
        <v>7</v>
      </c>
    </row>
    <row r="78" spans="1:11" x14ac:dyDescent="0.2">
      <c r="A78">
        <v>77</v>
      </c>
      <c r="B78" s="18">
        <v>-10.8483999999999</v>
      </c>
      <c r="C78" s="18">
        <v>-17.564499999999899</v>
      </c>
      <c r="D78" s="18">
        <v>7.9760999999999997</v>
      </c>
      <c r="E78" s="4" t="s">
        <v>164</v>
      </c>
      <c r="F78" s="4" t="s">
        <v>165</v>
      </c>
      <c r="G78" s="9" t="s">
        <v>66</v>
      </c>
      <c r="H78">
        <v>8</v>
      </c>
      <c r="I78" t="str">
        <f>IF(J78="视觉网络", "Visual Network",
    IF(J78="感觉运动网络", "Sensorimotor Network",
    IF(J78="背侧注意网络", "Dorsal Attention Network",
    IF(J78="腹侧注意网络", "Ventral Attention Network",
    IF(J78="边缘网络", "Limbic Network",
    IF(J78="额顶网络", "Frontoparietal Network",
    IF(J78="默认网络", "Default Mode Network",
    IF(J78="基底节网络", "Basal Ganglia Network", ""))))))))</f>
        <v>Basal Ganglia Network</v>
      </c>
      <c r="J78" t="str">
        <f>IF(H78=1, "视觉网络", IF(H78=2, "感觉运动网络", IF(H78=3, "背侧注意网络", IF(H78=4, "腹侧注意网络", IF(H78=5, "边缘网络", IF(H78=6, "额顶网络", IF(H78=7, "默认网络", IF(H78=8, "基底节网络", ""))))))))</f>
        <v>基底节网络</v>
      </c>
      <c r="K78">
        <v>7</v>
      </c>
    </row>
    <row r="79" spans="1:11" x14ac:dyDescent="0.2">
      <c r="A79">
        <v>78</v>
      </c>
      <c r="B79" s="18">
        <v>12.997699999999901</v>
      </c>
      <c r="C79" s="18">
        <v>-17.552399999999999</v>
      </c>
      <c r="D79" s="18">
        <v>8.0867999999999896</v>
      </c>
      <c r="E79" s="4" t="s">
        <v>166</v>
      </c>
      <c r="F79" s="4" t="s">
        <v>167</v>
      </c>
      <c r="G79" s="9" t="s">
        <v>66</v>
      </c>
      <c r="H79">
        <v>8</v>
      </c>
      <c r="I79" t="str">
        <f>IF(J79="视觉网络", "Visual Network",
    IF(J79="感觉运动网络", "Sensorimotor Network",
    IF(J79="背侧注意网络", "Dorsal Attention Network",
    IF(J79="腹侧注意网络", "Ventral Attention Network",
    IF(J79="边缘网络", "Limbic Network",
    IF(J79="额顶网络", "Frontoparietal Network",
    IF(J79="默认网络", "Default Mode Network",
    IF(J79="基底节网络", "Basal Ganglia Network", ""))))))))</f>
        <v>Basal Ganglia Network</v>
      </c>
      <c r="J79" t="str">
        <f>IF(H79=1, "视觉网络", IF(H79=2, "感觉运动网络", IF(H79=3, "背侧注意网络", IF(H79=4, "腹侧注意网络", IF(H79=5, "边缘网络", IF(H79=6, "额顶网络", IF(H79=7, "默认网络", IF(H79=8, "基底节网络", ""))))))))</f>
        <v>基底节网络</v>
      </c>
      <c r="K79">
        <v>7</v>
      </c>
    </row>
    <row r="80" spans="1:11" x14ac:dyDescent="0.2">
      <c r="A80">
        <v>79</v>
      </c>
      <c r="B80" s="18">
        <v>-41.991700000000002</v>
      </c>
      <c r="C80" s="18">
        <v>-18.8752999999999</v>
      </c>
      <c r="D80" s="18">
        <v>9.9783999999999899</v>
      </c>
      <c r="E80" s="4" t="s">
        <v>168</v>
      </c>
      <c r="F80" s="4" t="s">
        <v>169</v>
      </c>
      <c r="G80" s="11" t="s">
        <v>84</v>
      </c>
      <c r="H80">
        <v>2</v>
      </c>
      <c r="I80" t="str">
        <f>IF(J80="视觉网络", "Visual Network",
    IF(J80="感觉运动网络", "Sensorimotor Network",
    IF(J80="背侧注意网络", "Dorsal Attention Network",
    IF(J80="腹侧注意网络", "Ventral Attention Network",
    IF(J80="边缘网络", "Limbic Network",
    IF(J80="额顶网络", "Frontoparietal Network",
    IF(J80="默认网络", "Default Mode Network",
    IF(J80="基底节网络", "Basal Ganglia Network", ""))))))))</f>
        <v>Sensorimotor Network</v>
      </c>
      <c r="J80" t="str">
        <f>IF(H80=1, "视觉网络", IF(H80=2, "感觉运动网络", IF(H80=3, "背侧注意网络", IF(H80=4, "腹侧注意网络", IF(H80=5, "边缘网络", IF(H80=6, "额顶网络", IF(H80=7, "默认网络", IF(H80=8, "下皮层网络", ""))))))))</f>
        <v>感觉运动网络</v>
      </c>
      <c r="K80">
        <v>2</v>
      </c>
    </row>
    <row r="81" spans="1:11" x14ac:dyDescent="0.2">
      <c r="A81">
        <v>80</v>
      </c>
      <c r="B81" s="18">
        <v>45.856899999999897</v>
      </c>
      <c r="C81" s="18">
        <v>-17.1466999999999</v>
      </c>
      <c r="D81" s="18">
        <v>10.406000000000001</v>
      </c>
      <c r="E81" s="4" t="s">
        <v>170</v>
      </c>
      <c r="F81" s="4" t="s">
        <v>171</v>
      </c>
      <c r="G81" s="11" t="s">
        <v>84</v>
      </c>
      <c r="H81">
        <v>2</v>
      </c>
      <c r="I81" t="str">
        <f>IF(J81="视觉网络", "Visual Network",
    IF(J81="感觉运动网络", "Sensorimotor Network",
    IF(J81="背侧注意网络", "Dorsal Attention Network",
    IF(J81="腹侧注意网络", "Ventral Attention Network",
    IF(J81="边缘网络", "Limbic Network",
    IF(J81="额顶网络", "Frontoparietal Network",
    IF(J81="默认网络", "Default Mode Network",
    IF(J81="基底节网络", "Basal Ganglia Network", ""))))))))</f>
        <v>Sensorimotor Network</v>
      </c>
      <c r="J81" t="str">
        <f>IF(H81=1, "视觉网络", IF(H81=2, "感觉运动网络", IF(H81=3, "背侧注意网络", IF(H81=4, "腹侧注意网络", IF(H81=5, "边缘网络", IF(H81=6, "额顶网络", IF(H81=7, "默认网络", IF(H81=8, "下皮层网络", ""))))))))</f>
        <v>感觉运动网络</v>
      </c>
      <c r="K81">
        <v>2</v>
      </c>
    </row>
    <row r="82" spans="1:11" x14ac:dyDescent="0.2">
      <c r="A82">
        <v>81</v>
      </c>
      <c r="B82" s="18">
        <v>-53.156500000000001</v>
      </c>
      <c r="C82" s="18">
        <v>-20.677599999999899</v>
      </c>
      <c r="D82" s="18">
        <v>7.1347999999999896</v>
      </c>
      <c r="E82" s="4" t="s">
        <v>172</v>
      </c>
      <c r="F82" s="4" t="s">
        <v>173</v>
      </c>
      <c r="G82" s="11" t="s">
        <v>84</v>
      </c>
      <c r="H82">
        <v>2</v>
      </c>
      <c r="I82" t="str">
        <f>IF(J82="视觉网络", "Visual Network",
    IF(J82="感觉运动网络", "Sensorimotor Network",
    IF(J82="背侧注意网络", "Dorsal Attention Network",
    IF(J82="腹侧注意网络", "Ventral Attention Network",
    IF(J82="边缘网络", "Limbic Network",
    IF(J82="额顶网络", "Frontoparietal Network",
    IF(J82="默认网络", "Default Mode Network",
    IF(J82="基底节网络", "Basal Ganglia Network", ""))))))))</f>
        <v>Sensorimotor Network</v>
      </c>
      <c r="J82" t="str">
        <f>IF(H82=1, "视觉网络", IF(H82=2, "感觉运动网络", IF(H82=3, "背侧注意网络", IF(H82=4, "腹侧注意网络", IF(H82=5, "边缘网络", IF(H82=6, "额顶网络", IF(H82=7, "默认网络", IF(H82=8, "下皮层网络", ""))))))))</f>
        <v>感觉运动网络</v>
      </c>
      <c r="K82">
        <v>2</v>
      </c>
    </row>
    <row r="83" spans="1:11" x14ac:dyDescent="0.2">
      <c r="A83">
        <v>82</v>
      </c>
      <c r="B83" s="18">
        <v>58.145999999999901</v>
      </c>
      <c r="C83" s="18">
        <v>-21.7806</v>
      </c>
      <c r="D83" s="18">
        <v>6.8014000000000001</v>
      </c>
      <c r="E83" s="4" t="s">
        <v>174</v>
      </c>
      <c r="F83" s="4" t="s">
        <v>175</v>
      </c>
      <c r="G83" s="11" t="s">
        <v>84</v>
      </c>
      <c r="H83">
        <v>2</v>
      </c>
      <c r="I83" t="str">
        <f>IF(J83="视觉网络", "Visual Network",
    IF(J83="感觉运动网络", "Sensorimotor Network",
    IF(J83="背侧注意网络", "Dorsal Attention Network",
    IF(J83="腹侧注意网络", "Ventral Attention Network",
    IF(J83="边缘网络", "Limbic Network",
    IF(J83="额顶网络", "Frontoparietal Network",
    IF(J83="默认网络", "Default Mode Network",
    IF(J83="基底节网络", "Basal Ganglia Network", ""))))))))</f>
        <v>Sensorimotor Network</v>
      </c>
      <c r="J83" t="str">
        <f>IF(H83=1, "视觉网络", IF(H83=2, "感觉运动网络", IF(H83=3, "背侧注意网络", IF(H83=4, "腹侧注意网络", IF(H83=5, "边缘网络", IF(H83=6, "额顶网络", IF(H83=7, "默认网络", IF(H83=8, "下皮层网络", ""))))))))</f>
        <v>感觉运动网络</v>
      </c>
      <c r="K83">
        <v>2</v>
      </c>
    </row>
    <row r="84" spans="1:11" x14ac:dyDescent="0.2">
      <c r="A84">
        <v>83</v>
      </c>
      <c r="B84" s="18">
        <v>-39.878599999999899</v>
      </c>
      <c r="C84" s="18">
        <v>15.1441</v>
      </c>
      <c r="D84" s="18">
        <v>-20.182699999999901</v>
      </c>
      <c r="E84" s="4" t="s">
        <v>176</v>
      </c>
      <c r="F84" s="4" t="s">
        <v>177</v>
      </c>
      <c r="G84" s="11" t="s">
        <v>84</v>
      </c>
      <c r="H84">
        <v>5</v>
      </c>
      <c r="I84" t="str">
        <f>IF(J84="视觉网络", "Visual Network",
    IF(J84="感觉运动网络", "Sensorimotor Network",
    IF(J84="背侧注意网络", "Dorsal Attention Network",
    IF(J84="腹侧注意网络", "Ventral Attention Network",
    IF(J84="边缘网络", "Limbic Network",
    IF(J84="额顶网络", "Frontoparietal Network",
    IF(J84="默认网络", "Default Mode Network",
    IF(J84="基底节网络", "Basal Ganglia Network", ""))))))))</f>
        <v>Limbic Network</v>
      </c>
      <c r="J84" t="str">
        <f>IF(H84=1, "视觉网络", IF(H84=2, "感觉运动网络", IF(H84=3, "背侧注意网络", IF(H84=4, "腹侧注意网络", IF(H84=5, "边缘网络", IF(H84=6, "额顶网络", IF(H84=7, "默认网络", IF(H84=8, "下皮层网络", ""))))))))</f>
        <v>边缘网络</v>
      </c>
      <c r="K84">
        <v>4</v>
      </c>
    </row>
    <row r="85" spans="1:11" x14ac:dyDescent="0.2">
      <c r="A85">
        <v>84</v>
      </c>
      <c r="B85" s="18">
        <v>48.2468</v>
      </c>
      <c r="C85" s="18">
        <v>14.745200000000001</v>
      </c>
      <c r="D85" s="18">
        <v>-16.8631999999999</v>
      </c>
      <c r="E85" s="4" t="s">
        <v>178</v>
      </c>
      <c r="F85" s="4" t="s">
        <v>179</v>
      </c>
      <c r="G85" s="11" t="s">
        <v>84</v>
      </c>
      <c r="H85">
        <v>5</v>
      </c>
      <c r="I85" t="str">
        <f>IF(J85="视觉网络", "Visual Network",
    IF(J85="感觉运动网络", "Sensorimotor Network",
    IF(J85="背侧注意网络", "Dorsal Attention Network",
    IF(J85="腹侧注意网络", "Ventral Attention Network",
    IF(J85="边缘网络", "Limbic Network",
    IF(J85="额顶网络", "Frontoparietal Network",
    IF(J85="默认网络", "Default Mode Network",
    IF(J85="基底节网络", "Basal Ganglia Network", ""))))))))</f>
        <v>Limbic Network</v>
      </c>
      <c r="J85" t="str">
        <f>IF(H85=1, "视觉网络", IF(H85=2, "感觉运动网络", IF(H85=3, "背侧注意网络", IF(H85=4, "腹侧注意网络", IF(H85=5, "边缘网络", IF(H85=6, "额顶网络", IF(H85=7, "默认网络", IF(H85=8, "下皮层网络", ""))))))))</f>
        <v>边缘网络</v>
      </c>
      <c r="K85">
        <v>4</v>
      </c>
    </row>
    <row r="86" spans="1:11" x14ac:dyDescent="0.2">
      <c r="A86">
        <v>85</v>
      </c>
      <c r="B86" s="18">
        <v>-55.523899999999898</v>
      </c>
      <c r="C86" s="18">
        <v>-33.799799999999998</v>
      </c>
      <c r="D86" s="18">
        <v>-2.2009999999999899</v>
      </c>
      <c r="E86" s="4" t="s">
        <v>180</v>
      </c>
      <c r="F86" s="4" t="s">
        <v>181</v>
      </c>
      <c r="G86" s="11" t="s">
        <v>84</v>
      </c>
      <c r="H86">
        <v>7</v>
      </c>
      <c r="I86" t="str">
        <f>IF(J86="视觉网络", "Visual Network",
    IF(J86="感觉运动网络", "Sensorimotor Network",
    IF(J86="背侧注意网络", "Dorsal Attention Network",
    IF(J86="腹侧注意网络", "Ventral Attention Network",
    IF(J86="边缘网络", "Limbic Network",
    IF(J86="额顶网络", "Frontoparietal Network",
    IF(J86="默认网络", "Default Mode Network",
    IF(J86="基底节网络", "Basal Ganglia Network", ""))))))))</f>
        <v>Default Mode Network</v>
      </c>
      <c r="J86" t="str">
        <f>IF(H86=1, "视觉网络", IF(H86=2, "感觉运动网络", IF(H86=3, "背侧注意网络", IF(H86=4, "腹侧注意网络", IF(H86=5, "边缘网络", IF(H86=6, "额顶网络", IF(H86=7, "默认网络", IF(H86=8, "下皮层网络", ""))))))))</f>
        <v>默认网络</v>
      </c>
      <c r="K86">
        <v>6</v>
      </c>
    </row>
    <row r="87" spans="1:11" x14ac:dyDescent="0.2">
      <c r="A87">
        <v>86</v>
      </c>
      <c r="B87" s="18">
        <v>57.473500000000001</v>
      </c>
      <c r="C87" s="18">
        <v>-37.227999999999902</v>
      </c>
      <c r="D87" s="18">
        <v>-1.4681</v>
      </c>
      <c r="E87" s="4" t="s">
        <v>182</v>
      </c>
      <c r="F87" s="4" t="s">
        <v>183</v>
      </c>
      <c r="G87" s="11" t="s">
        <v>84</v>
      </c>
      <c r="H87">
        <v>7</v>
      </c>
      <c r="I87" t="str">
        <f>IF(J87="视觉网络", "Visual Network",
    IF(J87="感觉运动网络", "Sensorimotor Network",
    IF(J87="背侧注意网络", "Dorsal Attention Network",
    IF(J87="腹侧注意网络", "Ventral Attention Network",
    IF(J87="边缘网络", "Limbic Network",
    IF(J87="额顶网络", "Frontoparietal Network",
    IF(J87="默认网络", "Default Mode Network",
    IF(J87="基底节网络", "Basal Ganglia Network", ""))))))))</f>
        <v>Default Mode Network</v>
      </c>
      <c r="J87" t="str">
        <f>IF(H87=1, "视觉网络", IF(H87=2, "感觉运动网络", IF(H87=3, "背侧注意网络", IF(H87=4, "腹侧注意网络", IF(H87=5, "边缘网络", IF(H87=6, "额顶网络", IF(H87=7, "默认网络", IF(H87=8, "下皮层网络", ""))))))))</f>
        <v>默认网络</v>
      </c>
      <c r="K87">
        <v>6</v>
      </c>
    </row>
    <row r="88" spans="1:11" x14ac:dyDescent="0.2">
      <c r="A88">
        <v>87</v>
      </c>
      <c r="B88" s="18">
        <v>-36.319899999999897</v>
      </c>
      <c r="C88" s="18">
        <v>14.5869</v>
      </c>
      <c r="D88" s="18">
        <v>-34.0808999999999</v>
      </c>
      <c r="E88" s="4" t="s">
        <v>184</v>
      </c>
      <c r="F88" s="4" t="s">
        <v>185</v>
      </c>
      <c r="G88" s="11" t="s">
        <v>84</v>
      </c>
      <c r="H88">
        <v>5</v>
      </c>
      <c r="I88" t="str">
        <f>IF(J88="视觉网络", "Visual Network",
    IF(J88="感觉运动网络", "Sensorimotor Network",
    IF(J88="背侧注意网络", "Dorsal Attention Network",
    IF(J88="腹侧注意网络", "Ventral Attention Network",
    IF(J88="边缘网络", "Limbic Network",
    IF(J88="额顶网络", "Frontoparietal Network",
    IF(J88="默认网络", "Default Mode Network",
    IF(J88="基底节网络", "Basal Ganglia Network", ""))))))))</f>
        <v>Limbic Network</v>
      </c>
      <c r="J88" t="str">
        <f>IF(H88=1, "视觉网络", IF(H88=2, "感觉运动网络", IF(H88=3, "背侧注意网络", IF(H88=4, "腹侧注意网络", IF(H88=5, "边缘网络", IF(H88=6, "额顶网络", IF(H88=7, "默认网络", IF(H88=8, "下皮层网络", ""))))))))</f>
        <v>边缘网络</v>
      </c>
      <c r="K88">
        <v>4</v>
      </c>
    </row>
    <row r="89" spans="1:11" x14ac:dyDescent="0.2">
      <c r="A89">
        <v>88</v>
      </c>
      <c r="B89" s="18">
        <v>44.220399999999998</v>
      </c>
      <c r="C89" s="18">
        <v>14.551600000000001</v>
      </c>
      <c r="D89" s="18">
        <v>-32.233199999999897</v>
      </c>
      <c r="E89" s="4" t="s">
        <v>186</v>
      </c>
      <c r="F89" s="4" t="s">
        <v>187</v>
      </c>
      <c r="G89" s="11" t="s">
        <v>84</v>
      </c>
      <c r="H89">
        <v>5</v>
      </c>
      <c r="I89" t="str">
        <f>IF(J89="视觉网络", "Visual Network",
    IF(J89="感觉运动网络", "Sensorimotor Network",
    IF(J89="背侧注意网络", "Dorsal Attention Network",
    IF(J89="腹侧注意网络", "Ventral Attention Network",
    IF(J89="边缘网络", "Limbic Network",
    IF(J89="额顶网络", "Frontoparietal Network",
    IF(J89="默认网络", "Default Mode Network",
    IF(J89="基底节网络", "Basal Ganglia Network", ""))))))))</f>
        <v>Limbic Network</v>
      </c>
      <c r="J89" t="str">
        <f>IF(H89=1, "视觉网络", IF(H89=2, "感觉运动网络", IF(H89=3, "背侧注意网络", IF(H89=4, "腹侧注意网络", IF(H89=5, "边缘网络", IF(H89=6, "额顶网络", IF(H89=7, "默认网络", IF(H89=8, "下皮层网络", ""))))))))</f>
        <v>边缘网络</v>
      </c>
      <c r="K89">
        <v>4</v>
      </c>
    </row>
    <row r="90" spans="1:11" x14ac:dyDescent="0.2">
      <c r="A90">
        <v>89</v>
      </c>
      <c r="B90" s="18">
        <v>-49.770699999999898</v>
      </c>
      <c r="C90" s="18">
        <v>-28.051599999999901</v>
      </c>
      <c r="D90" s="18">
        <v>-23.168399999999899</v>
      </c>
      <c r="E90" s="4" t="s">
        <v>188</v>
      </c>
      <c r="F90" s="4" t="s">
        <v>189</v>
      </c>
      <c r="G90" s="11" t="s">
        <v>84</v>
      </c>
      <c r="H90">
        <v>5</v>
      </c>
      <c r="I90" t="str">
        <f>IF(J90="视觉网络", "Visual Network",
    IF(J90="感觉运动网络", "Sensorimotor Network",
    IF(J90="背侧注意网络", "Dorsal Attention Network",
    IF(J90="腹侧注意网络", "Ventral Attention Network",
    IF(J90="边缘网络", "Limbic Network",
    IF(J90="额顶网络", "Frontoparietal Network",
    IF(J90="默认网络", "Default Mode Network",
    IF(J90="基底节网络", "Basal Ganglia Network", ""))))))))</f>
        <v>Limbic Network</v>
      </c>
      <c r="J90" t="str">
        <f>IF(H90=1, "视觉网络", IF(H90=2, "感觉运动网络", IF(H90=3, "背侧注意网络", IF(H90=4, "腹侧注意网络", IF(H90=5, "边缘网络", IF(H90=6, "额顶网络", IF(H90=7, "默认网络", IF(H90=8, "下皮层网络", ""))))))))</f>
        <v>边缘网络</v>
      </c>
      <c r="K90">
        <v>4</v>
      </c>
    </row>
    <row r="91" spans="1:11" x14ac:dyDescent="0.2">
      <c r="A91">
        <v>90</v>
      </c>
      <c r="B91" s="18">
        <v>53.6922</v>
      </c>
      <c r="C91" s="18">
        <v>-31.069199999999899</v>
      </c>
      <c r="D91" s="18">
        <v>-22.3188999999999</v>
      </c>
      <c r="E91" s="4" t="s">
        <v>337</v>
      </c>
      <c r="F91" s="4" t="s">
        <v>191</v>
      </c>
      <c r="G91" s="11" t="s">
        <v>84</v>
      </c>
      <c r="H91">
        <v>5</v>
      </c>
      <c r="I91" t="str">
        <f>IF(J91="视觉网络", "Visual Network",
    IF(J91="感觉运动网络", "Sensorimotor Network",
    IF(J91="背侧注意网络", "Dorsal Attention Network",
    IF(J91="腹侧注意网络", "Ventral Attention Network",
    IF(J91="边缘网络", "Limbic Network",
    IF(J91="额顶网络", "Frontoparietal Network",
    IF(J91="默认网络", "Default Mode Network",
    IF(J91="基底节网络", "Basal Ganglia Network", ""))))))))</f>
        <v>Limbic Network</v>
      </c>
      <c r="J91" t="str">
        <f>IF(H91=1, "视觉网络", IF(H91=2, "感觉运动网络", IF(H91=3, "背侧注意网络", IF(H91=4, "腹侧注意网络", IF(H91=5, "边缘网络", IF(H91=6, "额顶网络", IF(H91=7, "默认网络", IF(H91=8, "下皮层网络", ""))))))))</f>
        <v>边缘网络</v>
      </c>
      <c r="K91">
        <v>4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91"/>
  <sheetViews>
    <sheetView workbookViewId="0">
      <selection activeCell="C18" sqref="C18"/>
    </sheetView>
  </sheetViews>
  <sheetFormatPr defaultColWidth="9" defaultRowHeight="14.25" x14ac:dyDescent="0.2"/>
  <cols>
    <col min="2" max="2" width="21.25" customWidth="1"/>
    <col min="4" max="4" width="28.875" customWidth="1"/>
    <col min="5" max="5" width="35.75" customWidth="1"/>
  </cols>
  <sheetData>
    <row r="1" spans="1:6" x14ac:dyDescent="0.2">
      <c r="A1" t="s">
        <v>0</v>
      </c>
      <c r="B1" t="s">
        <v>3</v>
      </c>
      <c r="C1" t="s">
        <v>4</v>
      </c>
      <c r="D1" s="6" t="s">
        <v>5</v>
      </c>
      <c r="F1" t="s">
        <v>192</v>
      </c>
    </row>
    <row r="2" spans="1:6" x14ac:dyDescent="0.2">
      <c r="A2">
        <v>1</v>
      </c>
      <c r="B2" s="4" t="s">
        <v>6</v>
      </c>
      <c r="C2" s="4" t="s">
        <v>7</v>
      </c>
      <c r="D2" s="11" t="s">
        <v>8</v>
      </c>
      <c r="E2" s="6">
        <f t="shared" ref="E2:E33" si="0">_xlfn.IFS(D2="Prefontal",1,D2="Frontal",2,D2="Parietal",3,D2="Temporal",4,D2="Occipital",5,D2="Subcortical",6)</f>
        <v>2</v>
      </c>
      <c r="F2">
        <v>6</v>
      </c>
    </row>
    <row r="3" spans="1:6" x14ac:dyDescent="0.2">
      <c r="A3">
        <v>2</v>
      </c>
      <c r="B3" s="4" t="s">
        <v>9</v>
      </c>
      <c r="C3" s="4" t="s">
        <v>10</v>
      </c>
      <c r="D3" s="11" t="s">
        <v>8</v>
      </c>
      <c r="E3" s="6">
        <f t="shared" si="0"/>
        <v>2</v>
      </c>
      <c r="F3">
        <v>6</v>
      </c>
    </row>
    <row r="4" spans="1:6" x14ac:dyDescent="0.2">
      <c r="A4">
        <v>3</v>
      </c>
      <c r="B4" s="4" t="s">
        <v>11</v>
      </c>
      <c r="C4" s="4" t="s">
        <v>12</v>
      </c>
      <c r="D4" s="11" t="s">
        <v>13</v>
      </c>
      <c r="E4" s="6">
        <f t="shared" si="0"/>
        <v>1</v>
      </c>
      <c r="F4">
        <v>3</v>
      </c>
    </row>
    <row r="5" spans="1:6" x14ac:dyDescent="0.2">
      <c r="A5">
        <v>4</v>
      </c>
      <c r="B5" s="4" t="s">
        <v>14</v>
      </c>
      <c r="C5" s="4" t="s">
        <v>15</v>
      </c>
      <c r="D5" s="11" t="s">
        <v>13</v>
      </c>
      <c r="E5" s="6">
        <f t="shared" si="0"/>
        <v>1</v>
      </c>
      <c r="F5">
        <v>3</v>
      </c>
    </row>
    <row r="6" spans="1:6" x14ac:dyDescent="0.2">
      <c r="A6">
        <v>5</v>
      </c>
      <c r="B6" s="4" t="s">
        <v>16</v>
      </c>
      <c r="C6" s="4" t="s">
        <v>17</v>
      </c>
      <c r="D6" s="11" t="s">
        <v>13</v>
      </c>
      <c r="E6" s="6">
        <f t="shared" si="0"/>
        <v>1</v>
      </c>
      <c r="F6">
        <v>7</v>
      </c>
    </row>
    <row r="7" spans="1:6" x14ac:dyDescent="0.2">
      <c r="A7">
        <v>6</v>
      </c>
      <c r="B7" s="4" t="s">
        <v>18</v>
      </c>
      <c r="C7" s="4" t="s">
        <v>19</v>
      </c>
      <c r="D7" s="11" t="s">
        <v>13</v>
      </c>
      <c r="E7" s="6">
        <f t="shared" si="0"/>
        <v>1</v>
      </c>
      <c r="F7">
        <v>7</v>
      </c>
    </row>
    <row r="8" spans="1:6" x14ac:dyDescent="0.2">
      <c r="A8">
        <v>7</v>
      </c>
      <c r="B8" s="4" t="s">
        <v>20</v>
      </c>
      <c r="C8" s="4" t="s">
        <v>21</v>
      </c>
      <c r="D8" s="11" t="s">
        <v>13</v>
      </c>
      <c r="E8" s="6">
        <f t="shared" si="0"/>
        <v>1</v>
      </c>
      <c r="F8">
        <v>3</v>
      </c>
    </row>
    <row r="9" spans="1:6" x14ac:dyDescent="0.2">
      <c r="A9">
        <v>8</v>
      </c>
      <c r="B9" s="4" t="s">
        <v>22</v>
      </c>
      <c r="C9" s="4" t="s">
        <v>23</v>
      </c>
      <c r="D9" s="11" t="s">
        <v>13</v>
      </c>
      <c r="E9" s="6">
        <f t="shared" si="0"/>
        <v>1</v>
      </c>
      <c r="F9">
        <v>2</v>
      </c>
    </row>
    <row r="10" spans="1:6" x14ac:dyDescent="0.2">
      <c r="A10">
        <v>9</v>
      </c>
      <c r="B10" s="4" t="s">
        <v>24</v>
      </c>
      <c r="C10" s="4" t="s">
        <v>25</v>
      </c>
      <c r="D10" s="11" t="s">
        <v>13</v>
      </c>
      <c r="E10" s="6">
        <f t="shared" si="0"/>
        <v>1</v>
      </c>
      <c r="F10">
        <v>7</v>
      </c>
    </row>
    <row r="11" spans="1:6" x14ac:dyDescent="0.2">
      <c r="A11">
        <v>10</v>
      </c>
      <c r="B11" s="4" t="s">
        <v>26</v>
      </c>
      <c r="C11" s="4" t="s">
        <v>27</v>
      </c>
      <c r="D11" s="11" t="s">
        <v>13</v>
      </c>
      <c r="E11" s="6">
        <f t="shared" si="0"/>
        <v>1</v>
      </c>
      <c r="F11">
        <v>7</v>
      </c>
    </row>
    <row r="12" spans="1:6" x14ac:dyDescent="0.2">
      <c r="A12">
        <v>11</v>
      </c>
      <c r="B12" s="4" t="s">
        <v>28</v>
      </c>
      <c r="C12" s="4" t="s">
        <v>29</v>
      </c>
      <c r="D12" s="11" t="s">
        <v>13</v>
      </c>
      <c r="E12" s="6">
        <f t="shared" si="0"/>
        <v>1</v>
      </c>
      <c r="F12">
        <v>1</v>
      </c>
    </row>
    <row r="13" spans="1:6" x14ac:dyDescent="0.2">
      <c r="A13">
        <v>12</v>
      </c>
      <c r="B13" s="4" t="s">
        <v>30</v>
      </c>
      <c r="C13" s="4" t="s">
        <v>31</v>
      </c>
      <c r="D13" s="11" t="s">
        <v>13</v>
      </c>
      <c r="E13" s="6">
        <f t="shared" si="0"/>
        <v>1</v>
      </c>
      <c r="F13">
        <v>2</v>
      </c>
    </row>
    <row r="14" spans="1:6" x14ac:dyDescent="0.2">
      <c r="A14">
        <v>13</v>
      </c>
      <c r="B14" s="4" t="s">
        <v>32</v>
      </c>
      <c r="C14" s="4" t="s">
        <v>33</v>
      </c>
      <c r="D14" s="11" t="s">
        <v>13</v>
      </c>
      <c r="E14" s="6">
        <f t="shared" si="0"/>
        <v>1</v>
      </c>
      <c r="F14">
        <v>1</v>
      </c>
    </row>
    <row r="15" spans="1:6" x14ac:dyDescent="0.2">
      <c r="A15">
        <v>14</v>
      </c>
      <c r="B15" s="4" t="s">
        <v>34</v>
      </c>
      <c r="C15" s="4" t="s">
        <v>35</v>
      </c>
      <c r="D15" s="11" t="s">
        <v>13</v>
      </c>
      <c r="E15" s="6">
        <f t="shared" si="0"/>
        <v>1</v>
      </c>
      <c r="F15">
        <v>1</v>
      </c>
    </row>
    <row r="16" spans="1:6" x14ac:dyDescent="0.2">
      <c r="A16">
        <v>15</v>
      </c>
      <c r="B16" s="4" t="s">
        <v>36</v>
      </c>
      <c r="C16" s="4" t="s">
        <v>37</v>
      </c>
      <c r="D16" s="11" t="s">
        <v>13</v>
      </c>
      <c r="E16" s="6">
        <f t="shared" si="0"/>
        <v>1</v>
      </c>
      <c r="F16">
        <v>7</v>
      </c>
    </row>
    <row r="17" spans="1:6" x14ac:dyDescent="0.2">
      <c r="A17">
        <v>16</v>
      </c>
      <c r="B17" s="4" t="s">
        <v>38</v>
      </c>
      <c r="C17" s="4" t="s">
        <v>39</v>
      </c>
      <c r="D17" s="11" t="s">
        <v>13</v>
      </c>
      <c r="E17" s="6">
        <f t="shared" si="0"/>
        <v>1</v>
      </c>
      <c r="F17">
        <v>7</v>
      </c>
    </row>
    <row r="18" spans="1:6" x14ac:dyDescent="0.2">
      <c r="A18">
        <v>17</v>
      </c>
      <c r="B18" s="4" t="s">
        <v>40</v>
      </c>
      <c r="C18" s="4" t="s">
        <v>41</v>
      </c>
      <c r="D18" s="11" t="s">
        <v>8</v>
      </c>
      <c r="E18" s="6">
        <f t="shared" si="0"/>
        <v>2</v>
      </c>
      <c r="F18">
        <v>1</v>
      </c>
    </row>
    <row r="19" spans="1:6" x14ac:dyDescent="0.2">
      <c r="A19">
        <v>18</v>
      </c>
      <c r="B19" s="4" t="s">
        <v>42</v>
      </c>
      <c r="C19" s="4" t="s">
        <v>43</v>
      </c>
      <c r="D19" s="11" t="s">
        <v>8</v>
      </c>
      <c r="E19" s="6">
        <f t="shared" si="0"/>
        <v>2</v>
      </c>
      <c r="F19">
        <v>1</v>
      </c>
    </row>
    <row r="20" spans="1:6" x14ac:dyDescent="0.2">
      <c r="A20">
        <v>19</v>
      </c>
      <c r="B20" s="4" t="s">
        <v>44</v>
      </c>
      <c r="C20" s="4" t="s">
        <v>45</v>
      </c>
      <c r="D20" s="11" t="s">
        <v>8</v>
      </c>
      <c r="E20" s="6">
        <f t="shared" si="0"/>
        <v>2</v>
      </c>
      <c r="F20">
        <v>3</v>
      </c>
    </row>
    <row r="21" spans="1:6" x14ac:dyDescent="0.2">
      <c r="A21">
        <v>20</v>
      </c>
      <c r="B21" s="4" t="s">
        <v>46</v>
      </c>
      <c r="C21" s="4" t="s">
        <v>47</v>
      </c>
      <c r="D21" s="11" t="s">
        <v>8</v>
      </c>
      <c r="E21" s="6">
        <f t="shared" si="0"/>
        <v>2</v>
      </c>
      <c r="F21">
        <v>3</v>
      </c>
    </row>
    <row r="22" spans="1:6" x14ac:dyDescent="0.2">
      <c r="A22">
        <v>21</v>
      </c>
      <c r="B22" s="4" t="s">
        <v>48</v>
      </c>
      <c r="C22" s="4" t="s">
        <v>49</v>
      </c>
      <c r="D22" s="11" t="s">
        <v>13</v>
      </c>
      <c r="E22" s="6">
        <f t="shared" si="0"/>
        <v>1</v>
      </c>
      <c r="F22">
        <v>7</v>
      </c>
    </row>
    <row r="23" spans="1:6" x14ac:dyDescent="0.2">
      <c r="A23">
        <v>22</v>
      </c>
      <c r="B23" s="4" t="s">
        <v>50</v>
      </c>
      <c r="C23" s="4" t="s">
        <v>51</v>
      </c>
      <c r="D23" s="11" t="s">
        <v>13</v>
      </c>
      <c r="E23" s="6">
        <f t="shared" si="0"/>
        <v>1</v>
      </c>
      <c r="F23">
        <v>7</v>
      </c>
    </row>
    <row r="24" spans="1:6" x14ac:dyDescent="0.2">
      <c r="A24">
        <v>23</v>
      </c>
      <c r="B24" s="4" t="s">
        <v>52</v>
      </c>
      <c r="C24" s="4" t="s">
        <v>53</v>
      </c>
      <c r="D24" s="11" t="s">
        <v>13</v>
      </c>
      <c r="E24" s="6">
        <f t="shared" si="0"/>
        <v>1</v>
      </c>
      <c r="F24">
        <v>5</v>
      </c>
    </row>
    <row r="25" spans="1:6" x14ac:dyDescent="0.2">
      <c r="A25">
        <v>24</v>
      </c>
      <c r="B25" s="4" t="s">
        <v>54</v>
      </c>
      <c r="C25" s="4" t="s">
        <v>55</v>
      </c>
      <c r="D25" s="11" t="s">
        <v>13</v>
      </c>
      <c r="E25" s="6">
        <f t="shared" si="0"/>
        <v>1</v>
      </c>
      <c r="F25">
        <v>5</v>
      </c>
    </row>
    <row r="26" spans="1:6" x14ac:dyDescent="0.2">
      <c r="A26">
        <v>25</v>
      </c>
      <c r="B26" s="4" t="s">
        <v>56</v>
      </c>
      <c r="C26" s="4" t="s">
        <v>57</v>
      </c>
      <c r="D26" s="11" t="s">
        <v>13</v>
      </c>
      <c r="E26" s="6">
        <f t="shared" si="0"/>
        <v>1</v>
      </c>
      <c r="F26">
        <v>5</v>
      </c>
    </row>
    <row r="27" spans="1:6" x14ac:dyDescent="0.2">
      <c r="A27">
        <v>26</v>
      </c>
      <c r="B27" s="4" t="s">
        <v>58</v>
      </c>
      <c r="C27" s="4" t="s">
        <v>59</v>
      </c>
      <c r="D27" s="11" t="s">
        <v>13</v>
      </c>
      <c r="E27" s="6">
        <f t="shared" si="0"/>
        <v>1</v>
      </c>
      <c r="F27">
        <v>5</v>
      </c>
    </row>
    <row r="28" spans="1:6" x14ac:dyDescent="0.2">
      <c r="A28">
        <v>27</v>
      </c>
      <c r="B28" s="4" t="s">
        <v>60</v>
      </c>
      <c r="C28" s="4" t="s">
        <v>61</v>
      </c>
      <c r="D28" s="11" t="s">
        <v>13</v>
      </c>
      <c r="E28" s="6">
        <f t="shared" si="0"/>
        <v>1</v>
      </c>
      <c r="F28">
        <v>7</v>
      </c>
    </row>
    <row r="29" spans="1:6" x14ac:dyDescent="0.2">
      <c r="A29">
        <v>28</v>
      </c>
      <c r="B29" s="4" t="s">
        <v>62</v>
      </c>
      <c r="C29" s="4" t="s">
        <v>63</v>
      </c>
      <c r="D29" s="11" t="s">
        <v>13</v>
      </c>
      <c r="E29" s="6">
        <f t="shared" si="0"/>
        <v>1</v>
      </c>
      <c r="F29">
        <v>7</v>
      </c>
    </row>
    <row r="30" spans="1:6" x14ac:dyDescent="0.2">
      <c r="A30">
        <v>29</v>
      </c>
      <c r="B30" s="4" t="s">
        <v>64</v>
      </c>
      <c r="C30" s="4" t="s">
        <v>65</v>
      </c>
      <c r="D30" s="9" t="s">
        <v>66</v>
      </c>
      <c r="E30" s="6">
        <f t="shared" si="0"/>
        <v>6</v>
      </c>
      <c r="F30">
        <v>1</v>
      </c>
    </row>
    <row r="31" spans="1:6" x14ac:dyDescent="0.2">
      <c r="A31">
        <v>30</v>
      </c>
      <c r="B31" s="4" t="s">
        <v>67</v>
      </c>
      <c r="C31" s="4" t="s">
        <v>68</v>
      </c>
      <c r="D31" s="9" t="s">
        <v>66</v>
      </c>
      <c r="E31" s="6">
        <f t="shared" si="0"/>
        <v>6</v>
      </c>
      <c r="F31">
        <v>1</v>
      </c>
    </row>
    <row r="32" spans="1:6" x14ac:dyDescent="0.2">
      <c r="A32">
        <v>31</v>
      </c>
      <c r="B32" s="4" t="s">
        <v>69</v>
      </c>
      <c r="C32" s="4" t="s">
        <v>70</v>
      </c>
      <c r="D32" s="11" t="s">
        <v>13</v>
      </c>
      <c r="E32" s="6">
        <f t="shared" si="0"/>
        <v>1</v>
      </c>
      <c r="F32">
        <v>2</v>
      </c>
    </row>
    <row r="33" spans="1:6" x14ac:dyDescent="0.2">
      <c r="A33">
        <v>32</v>
      </c>
      <c r="B33" s="4" t="s">
        <v>71</v>
      </c>
      <c r="C33" s="4" t="s">
        <v>72</v>
      </c>
      <c r="D33" s="11" t="s">
        <v>13</v>
      </c>
      <c r="E33" s="6">
        <f t="shared" si="0"/>
        <v>1</v>
      </c>
      <c r="F33">
        <v>2</v>
      </c>
    </row>
    <row r="34" spans="1:6" x14ac:dyDescent="0.2">
      <c r="A34">
        <v>33</v>
      </c>
      <c r="B34" s="4" t="s">
        <v>73</v>
      </c>
      <c r="C34" s="4" t="s">
        <v>74</v>
      </c>
      <c r="D34" s="11" t="s">
        <v>8</v>
      </c>
      <c r="E34" s="6">
        <f t="shared" ref="E34:E65" si="1">_xlfn.IFS(D34="Prefontal",1,D34="Frontal",2,D34="Parietal",3,D34="Temporal",4,D34="Occipital",5,D34="Subcortical",6)</f>
        <v>2</v>
      </c>
      <c r="F34">
        <v>3</v>
      </c>
    </row>
    <row r="35" spans="1:6" x14ac:dyDescent="0.2">
      <c r="A35">
        <v>34</v>
      </c>
      <c r="B35" s="4" t="s">
        <v>75</v>
      </c>
      <c r="C35" s="4" t="s">
        <v>76</v>
      </c>
      <c r="D35" s="11" t="s">
        <v>8</v>
      </c>
      <c r="E35" s="6">
        <f t="shared" si="1"/>
        <v>2</v>
      </c>
      <c r="F35">
        <v>3</v>
      </c>
    </row>
    <row r="36" spans="1:6" x14ac:dyDescent="0.2">
      <c r="A36">
        <v>35</v>
      </c>
      <c r="B36" s="4" t="s">
        <v>77</v>
      </c>
      <c r="C36" s="4" t="s">
        <v>78</v>
      </c>
      <c r="D36" s="11" t="s">
        <v>79</v>
      </c>
      <c r="E36" s="6">
        <f t="shared" si="1"/>
        <v>3</v>
      </c>
      <c r="F36">
        <v>5</v>
      </c>
    </row>
    <row r="37" spans="1:6" x14ac:dyDescent="0.2">
      <c r="A37">
        <v>36</v>
      </c>
      <c r="B37" s="4" t="s">
        <v>80</v>
      </c>
      <c r="C37" s="4" t="s">
        <v>81</v>
      </c>
      <c r="D37" s="11" t="s">
        <v>79</v>
      </c>
      <c r="E37" s="6">
        <f t="shared" si="1"/>
        <v>3</v>
      </c>
      <c r="F37">
        <v>5</v>
      </c>
    </row>
    <row r="38" spans="1:6" x14ac:dyDescent="0.2">
      <c r="A38">
        <v>37</v>
      </c>
      <c r="B38" s="4" t="s">
        <v>82</v>
      </c>
      <c r="C38" s="4" t="s">
        <v>83</v>
      </c>
      <c r="D38" s="11" t="s">
        <v>84</v>
      </c>
      <c r="E38" s="6">
        <f t="shared" si="1"/>
        <v>4</v>
      </c>
      <c r="F38">
        <v>5</v>
      </c>
    </row>
    <row r="39" spans="1:6" x14ac:dyDescent="0.2">
      <c r="A39">
        <v>38</v>
      </c>
      <c r="B39" s="4" t="s">
        <v>85</v>
      </c>
      <c r="C39" s="4" t="s">
        <v>86</v>
      </c>
      <c r="D39" s="11" t="s">
        <v>84</v>
      </c>
      <c r="E39" s="6">
        <f t="shared" si="1"/>
        <v>4</v>
      </c>
      <c r="F39">
        <v>5</v>
      </c>
    </row>
    <row r="40" spans="1:6" x14ac:dyDescent="0.2">
      <c r="A40">
        <v>39</v>
      </c>
      <c r="B40" s="4" t="s">
        <v>87</v>
      </c>
      <c r="C40" s="4" t="s">
        <v>88</v>
      </c>
      <c r="D40" s="11" t="s">
        <v>84</v>
      </c>
      <c r="E40" s="6">
        <f t="shared" si="1"/>
        <v>4</v>
      </c>
      <c r="F40">
        <v>5</v>
      </c>
    </row>
    <row r="41" spans="1:6" x14ac:dyDescent="0.2">
      <c r="A41">
        <v>40</v>
      </c>
      <c r="B41" s="4" t="s">
        <v>89</v>
      </c>
      <c r="C41" s="4" t="s">
        <v>90</v>
      </c>
      <c r="D41" s="11" t="s">
        <v>84</v>
      </c>
      <c r="E41" s="6">
        <f t="shared" si="1"/>
        <v>4</v>
      </c>
      <c r="F41">
        <v>5</v>
      </c>
    </row>
    <row r="42" spans="1:6" x14ac:dyDescent="0.2">
      <c r="A42">
        <v>41</v>
      </c>
      <c r="B42" s="4" t="s">
        <v>91</v>
      </c>
      <c r="C42" s="4" t="s">
        <v>92</v>
      </c>
      <c r="D42" s="11" t="s">
        <v>84</v>
      </c>
      <c r="E42" s="6">
        <f t="shared" si="1"/>
        <v>4</v>
      </c>
      <c r="F42">
        <v>6</v>
      </c>
    </row>
    <row r="43" spans="1:6" x14ac:dyDescent="0.2">
      <c r="A43">
        <v>42</v>
      </c>
      <c r="B43" s="4" t="s">
        <v>93</v>
      </c>
      <c r="C43" s="4" t="s">
        <v>94</v>
      </c>
      <c r="D43" s="11" t="s">
        <v>84</v>
      </c>
      <c r="E43" s="6">
        <f t="shared" si="1"/>
        <v>4</v>
      </c>
      <c r="F43">
        <v>6</v>
      </c>
    </row>
    <row r="44" spans="1:6" x14ac:dyDescent="0.2">
      <c r="A44">
        <v>43</v>
      </c>
      <c r="B44" s="4" t="s">
        <v>95</v>
      </c>
      <c r="C44" s="4" t="s">
        <v>96</v>
      </c>
      <c r="D44" s="11" t="s">
        <v>97</v>
      </c>
      <c r="E44" s="6">
        <f t="shared" si="1"/>
        <v>5</v>
      </c>
      <c r="F44">
        <v>8</v>
      </c>
    </row>
    <row r="45" spans="1:6" x14ac:dyDescent="0.2">
      <c r="A45">
        <v>44</v>
      </c>
      <c r="B45" s="4" t="s">
        <v>98</v>
      </c>
      <c r="C45" s="4" t="s">
        <v>99</v>
      </c>
      <c r="D45" s="11" t="s">
        <v>97</v>
      </c>
      <c r="E45" s="6">
        <f t="shared" si="1"/>
        <v>5</v>
      </c>
      <c r="F45">
        <v>8</v>
      </c>
    </row>
    <row r="46" spans="1:6" x14ac:dyDescent="0.2">
      <c r="A46">
        <v>45</v>
      </c>
      <c r="B46" s="4" t="s">
        <v>100</v>
      </c>
      <c r="C46" s="4" t="s">
        <v>101</v>
      </c>
      <c r="D46" s="11" t="s">
        <v>97</v>
      </c>
      <c r="E46" s="6">
        <f t="shared" si="1"/>
        <v>5</v>
      </c>
      <c r="F46">
        <v>5</v>
      </c>
    </row>
    <row r="47" spans="1:6" x14ac:dyDescent="0.2">
      <c r="A47">
        <v>46</v>
      </c>
      <c r="B47" s="4" t="s">
        <v>102</v>
      </c>
      <c r="C47" s="4" t="s">
        <v>103</v>
      </c>
      <c r="D47" s="11" t="s">
        <v>97</v>
      </c>
      <c r="E47" s="6">
        <f t="shared" si="1"/>
        <v>5</v>
      </c>
      <c r="F47">
        <v>5</v>
      </c>
    </row>
    <row r="48" spans="1:6" x14ac:dyDescent="0.2">
      <c r="A48">
        <v>47</v>
      </c>
      <c r="B48" s="4" t="s">
        <v>104</v>
      </c>
      <c r="C48" s="4" t="s">
        <v>105</v>
      </c>
      <c r="D48" s="11" t="s">
        <v>97</v>
      </c>
      <c r="E48" s="6">
        <f t="shared" si="1"/>
        <v>5</v>
      </c>
      <c r="F48">
        <v>5</v>
      </c>
    </row>
    <row r="49" spans="1:6" x14ac:dyDescent="0.2">
      <c r="A49">
        <v>48</v>
      </c>
      <c r="B49" s="4" t="s">
        <v>106</v>
      </c>
      <c r="C49" s="4" t="s">
        <v>107</v>
      </c>
      <c r="D49" s="11" t="s">
        <v>97</v>
      </c>
      <c r="E49" s="6">
        <f t="shared" si="1"/>
        <v>5</v>
      </c>
      <c r="F49">
        <v>8</v>
      </c>
    </row>
    <row r="50" spans="1:6" x14ac:dyDescent="0.2">
      <c r="A50">
        <v>49</v>
      </c>
      <c r="B50" s="4" t="s">
        <v>108</v>
      </c>
      <c r="C50" s="4" t="s">
        <v>109</v>
      </c>
      <c r="D50" s="11" t="s">
        <v>97</v>
      </c>
      <c r="E50" s="6">
        <f t="shared" si="1"/>
        <v>5</v>
      </c>
      <c r="F50">
        <v>8</v>
      </c>
    </row>
    <row r="51" spans="1:6" x14ac:dyDescent="0.2">
      <c r="A51">
        <v>50</v>
      </c>
      <c r="B51" s="4" t="s">
        <v>110</v>
      </c>
      <c r="C51" s="4" t="s">
        <v>111</v>
      </c>
      <c r="D51" s="11" t="s">
        <v>97</v>
      </c>
      <c r="E51" s="6">
        <f t="shared" si="1"/>
        <v>5</v>
      </c>
      <c r="F51">
        <v>4</v>
      </c>
    </row>
    <row r="52" spans="1:6" x14ac:dyDescent="0.2">
      <c r="A52">
        <v>51</v>
      </c>
      <c r="B52" s="4" t="s">
        <v>112</v>
      </c>
      <c r="C52" s="4" t="s">
        <v>113</v>
      </c>
      <c r="D52" s="11" t="s">
        <v>97</v>
      </c>
      <c r="E52" s="6">
        <f t="shared" si="1"/>
        <v>5</v>
      </c>
      <c r="F52">
        <v>5</v>
      </c>
    </row>
    <row r="53" spans="1:6" x14ac:dyDescent="0.2">
      <c r="A53">
        <v>52</v>
      </c>
      <c r="B53" s="4" t="s">
        <v>114</v>
      </c>
      <c r="C53" s="4" t="s">
        <v>115</v>
      </c>
      <c r="D53" s="11" t="s">
        <v>97</v>
      </c>
      <c r="E53" s="6">
        <f t="shared" si="1"/>
        <v>5</v>
      </c>
      <c r="F53">
        <v>5</v>
      </c>
    </row>
    <row r="54" spans="1:6" x14ac:dyDescent="0.2">
      <c r="A54">
        <v>53</v>
      </c>
      <c r="B54" s="4" t="s">
        <v>116</v>
      </c>
      <c r="C54" s="4" t="s">
        <v>117</v>
      </c>
      <c r="D54" s="11" t="s">
        <v>97</v>
      </c>
      <c r="E54" s="6">
        <f t="shared" si="1"/>
        <v>5</v>
      </c>
      <c r="F54">
        <v>5</v>
      </c>
    </row>
    <row r="55" spans="1:6" x14ac:dyDescent="0.2">
      <c r="A55">
        <v>54</v>
      </c>
      <c r="B55" s="4" t="s">
        <v>118</v>
      </c>
      <c r="C55" s="4" t="s">
        <v>119</v>
      </c>
      <c r="D55" s="11" t="s">
        <v>97</v>
      </c>
      <c r="E55" s="6">
        <f t="shared" si="1"/>
        <v>5</v>
      </c>
      <c r="F55">
        <v>8</v>
      </c>
    </row>
    <row r="56" spans="1:6" x14ac:dyDescent="0.2">
      <c r="A56">
        <v>55</v>
      </c>
      <c r="B56" s="4" t="s">
        <v>120</v>
      </c>
      <c r="C56" s="4" t="s">
        <v>121</v>
      </c>
      <c r="D56" s="11" t="s">
        <v>84</v>
      </c>
      <c r="E56" s="6">
        <f t="shared" si="1"/>
        <v>4</v>
      </c>
      <c r="F56">
        <v>5</v>
      </c>
    </row>
    <row r="57" spans="1:6" x14ac:dyDescent="0.2">
      <c r="A57">
        <v>56</v>
      </c>
      <c r="B57" s="4" t="s">
        <v>122</v>
      </c>
      <c r="C57" s="4" t="s">
        <v>123</v>
      </c>
      <c r="D57" s="11" t="s">
        <v>84</v>
      </c>
      <c r="E57" s="6">
        <f t="shared" si="1"/>
        <v>4</v>
      </c>
      <c r="F57">
        <v>5</v>
      </c>
    </row>
    <row r="58" spans="1:6" x14ac:dyDescent="0.2">
      <c r="A58">
        <v>57</v>
      </c>
      <c r="B58" s="4" t="s">
        <v>124</v>
      </c>
      <c r="C58" s="4" t="s">
        <v>125</v>
      </c>
      <c r="D58" s="11" t="s">
        <v>79</v>
      </c>
      <c r="E58" s="6">
        <f t="shared" si="1"/>
        <v>3</v>
      </c>
      <c r="F58">
        <v>6</v>
      </c>
    </row>
    <row r="59" spans="1:6" x14ac:dyDescent="0.2">
      <c r="A59">
        <v>58</v>
      </c>
      <c r="B59" s="4" t="s">
        <v>126</v>
      </c>
      <c r="C59" s="4" t="s">
        <v>127</v>
      </c>
      <c r="D59" s="11" t="s">
        <v>79</v>
      </c>
      <c r="E59" s="6">
        <f t="shared" si="1"/>
        <v>3</v>
      </c>
      <c r="F59">
        <v>6</v>
      </c>
    </row>
    <row r="60" spans="1:6" x14ac:dyDescent="0.2">
      <c r="A60">
        <v>59</v>
      </c>
      <c r="B60" s="4" t="s">
        <v>128</v>
      </c>
      <c r="C60" s="4" t="s">
        <v>129</v>
      </c>
      <c r="D60" s="11" t="s">
        <v>79</v>
      </c>
      <c r="E60" s="6">
        <f t="shared" si="1"/>
        <v>3</v>
      </c>
      <c r="F60">
        <v>4</v>
      </c>
    </row>
    <row r="61" spans="1:6" x14ac:dyDescent="0.2">
      <c r="A61">
        <v>60</v>
      </c>
      <c r="B61" s="4" t="s">
        <v>130</v>
      </c>
      <c r="C61" s="4" t="s">
        <v>131</v>
      </c>
      <c r="D61" s="11" t="s">
        <v>79</v>
      </c>
      <c r="E61" s="6">
        <f t="shared" si="1"/>
        <v>3</v>
      </c>
      <c r="F61">
        <v>4</v>
      </c>
    </row>
    <row r="62" spans="1:6" x14ac:dyDescent="0.2">
      <c r="A62">
        <v>61</v>
      </c>
      <c r="B62" s="4" t="s">
        <v>132</v>
      </c>
      <c r="C62" s="4" t="s">
        <v>133</v>
      </c>
      <c r="D62" s="11" t="s">
        <v>79</v>
      </c>
      <c r="E62" s="6">
        <f t="shared" si="1"/>
        <v>3</v>
      </c>
      <c r="F62">
        <v>4</v>
      </c>
    </row>
    <row r="63" spans="1:6" x14ac:dyDescent="0.2">
      <c r="A63">
        <v>62</v>
      </c>
      <c r="B63" s="4" t="s">
        <v>134</v>
      </c>
      <c r="C63" s="4" t="s">
        <v>135</v>
      </c>
      <c r="D63" s="11" t="s">
        <v>79</v>
      </c>
      <c r="E63" s="6">
        <f t="shared" si="1"/>
        <v>3</v>
      </c>
      <c r="F63">
        <v>4</v>
      </c>
    </row>
    <row r="64" spans="1:6" x14ac:dyDescent="0.2">
      <c r="A64">
        <v>63</v>
      </c>
      <c r="B64" s="4" t="s">
        <v>136</v>
      </c>
      <c r="C64" s="4" t="s">
        <v>137</v>
      </c>
      <c r="D64" s="11" t="s">
        <v>79</v>
      </c>
      <c r="E64" s="6">
        <f t="shared" si="1"/>
        <v>3</v>
      </c>
      <c r="F64">
        <v>2</v>
      </c>
    </row>
    <row r="65" spans="1:6" x14ac:dyDescent="0.2">
      <c r="A65">
        <v>64</v>
      </c>
      <c r="B65" s="4" t="s">
        <v>138</v>
      </c>
      <c r="C65" s="4" t="s">
        <v>139</v>
      </c>
      <c r="D65" s="11" t="s">
        <v>79</v>
      </c>
      <c r="E65" s="6">
        <f t="shared" si="1"/>
        <v>3</v>
      </c>
      <c r="F65">
        <v>2</v>
      </c>
    </row>
    <row r="66" spans="1:6" x14ac:dyDescent="0.2">
      <c r="A66">
        <v>65</v>
      </c>
      <c r="B66" s="4" t="s">
        <v>140</v>
      </c>
      <c r="C66" s="4" t="s">
        <v>141</v>
      </c>
      <c r="D66" s="11" t="s">
        <v>79</v>
      </c>
      <c r="E66" s="6">
        <f t="shared" ref="E66:E91" si="2">_xlfn.IFS(D66="Prefontal",1,D66="Frontal",2,D66="Parietal",3,D66="Temporal",4,D66="Occipital",5,D66="Subcortical",6)</f>
        <v>3</v>
      </c>
      <c r="F66">
        <v>5</v>
      </c>
    </row>
    <row r="67" spans="1:6" x14ac:dyDescent="0.2">
      <c r="A67">
        <v>66</v>
      </c>
      <c r="B67" s="4" t="s">
        <v>142</v>
      </c>
      <c r="C67" s="4" t="s">
        <v>143</v>
      </c>
      <c r="D67" s="11" t="s">
        <v>79</v>
      </c>
      <c r="E67" s="6">
        <f t="shared" si="2"/>
        <v>3</v>
      </c>
      <c r="F67">
        <v>5</v>
      </c>
    </row>
    <row r="68" spans="1:6" x14ac:dyDescent="0.2">
      <c r="A68">
        <v>67</v>
      </c>
      <c r="B68" s="4" t="s">
        <v>144</v>
      </c>
      <c r="C68" s="4" t="s">
        <v>145</v>
      </c>
      <c r="D68" s="11" t="s">
        <v>79</v>
      </c>
      <c r="E68" s="6">
        <f t="shared" si="2"/>
        <v>3</v>
      </c>
      <c r="F68">
        <v>5</v>
      </c>
    </row>
    <row r="69" spans="1:6" x14ac:dyDescent="0.2">
      <c r="A69">
        <v>68</v>
      </c>
      <c r="B69" s="4" t="s">
        <v>146</v>
      </c>
      <c r="C69" s="4" t="s">
        <v>147</v>
      </c>
      <c r="D69" s="11" t="s">
        <v>79</v>
      </c>
      <c r="E69" s="6">
        <f t="shared" si="2"/>
        <v>3</v>
      </c>
      <c r="F69">
        <v>5</v>
      </c>
    </row>
    <row r="70" spans="1:6" x14ac:dyDescent="0.2">
      <c r="A70">
        <v>69</v>
      </c>
      <c r="B70" s="4" t="s">
        <v>148</v>
      </c>
      <c r="C70" s="4" t="s">
        <v>149</v>
      </c>
      <c r="D70" s="11" t="s">
        <v>79</v>
      </c>
      <c r="E70" s="6">
        <f t="shared" si="2"/>
        <v>3</v>
      </c>
      <c r="F70">
        <v>3</v>
      </c>
    </row>
    <row r="71" spans="1:6" x14ac:dyDescent="0.2">
      <c r="A71">
        <v>70</v>
      </c>
      <c r="B71" s="4" t="s">
        <v>150</v>
      </c>
      <c r="C71" s="4" t="s">
        <v>151</v>
      </c>
      <c r="D71" s="11" t="s">
        <v>79</v>
      </c>
      <c r="E71" s="6">
        <f t="shared" si="2"/>
        <v>3</v>
      </c>
      <c r="F71">
        <v>1</v>
      </c>
    </row>
    <row r="72" spans="1:6" x14ac:dyDescent="0.2">
      <c r="A72">
        <v>71</v>
      </c>
      <c r="B72" s="4" t="s">
        <v>152</v>
      </c>
      <c r="C72" s="4" t="s">
        <v>153</v>
      </c>
      <c r="D72" s="9" t="s">
        <v>66</v>
      </c>
      <c r="E72" s="6">
        <f t="shared" si="2"/>
        <v>6</v>
      </c>
      <c r="F72">
        <v>7</v>
      </c>
    </row>
    <row r="73" spans="1:6" x14ac:dyDescent="0.2">
      <c r="A73">
        <v>72</v>
      </c>
      <c r="B73" s="4" t="s">
        <v>154</v>
      </c>
      <c r="C73" s="4" t="s">
        <v>155</v>
      </c>
      <c r="D73" s="9" t="s">
        <v>66</v>
      </c>
      <c r="E73" s="6">
        <f t="shared" si="2"/>
        <v>6</v>
      </c>
      <c r="F73">
        <v>7</v>
      </c>
    </row>
    <row r="74" spans="1:6" x14ac:dyDescent="0.2">
      <c r="A74">
        <v>73</v>
      </c>
      <c r="B74" s="4" t="s">
        <v>156</v>
      </c>
      <c r="C74" s="4" t="s">
        <v>157</v>
      </c>
      <c r="D74" s="9" t="s">
        <v>66</v>
      </c>
      <c r="E74" s="6">
        <f t="shared" si="2"/>
        <v>6</v>
      </c>
      <c r="F74">
        <v>6</v>
      </c>
    </row>
    <row r="75" spans="1:6" x14ac:dyDescent="0.2">
      <c r="A75">
        <v>74</v>
      </c>
      <c r="B75" s="4" t="s">
        <v>158</v>
      </c>
      <c r="C75" s="4" t="s">
        <v>159</v>
      </c>
      <c r="D75" s="9" t="s">
        <v>66</v>
      </c>
      <c r="E75" s="6">
        <f t="shared" si="2"/>
        <v>6</v>
      </c>
      <c r="F75">
        <v>6</v>
      </c>
    </row>
    <row r="76" spans="1:6" x14ac:dyDescent="0.2">
      <c r="A76">
        <v>75</v>
      </c>
      <c r="B76" s="4" t="s">
        <v>160</v>
      </c>
      <c r="C76" s="4" t="s">
        <v>161</v>
      </c>
      <c r="D76" s="9" t="s">
        <v>66</v>
      </c>
      <c r="E76" s="6">
        <f t="shared" si="2"/>
        <v>6</v>
      </c>
      <c r="F76">
        <v>6</v>
      </c>
    </row>
    <row r="77" spans="1:6" x14ac:dyDescent="0.2">
      <c r="A77">
        <v>76</v>
      </c>
      <c r="B77" s="4" t="s">
        <v>162</v>
      </c>
      <c r="C77" s="4" t="s">
        <v>163</v>
      </c>
      <c r="D77" s="9" t="s">
        <v>66</v>
      </c>
      <c r="E77" s="6">
        <f t="shared" si="2"/>
        <v>6</v>
      </c>
      <c r="F77">
        <v>6</v>
      </c>
    </row>
    <row r="78" spans="1:6" x14ac:dyDescent="0.2">
      <c r="A78">
        <v>77</v>
      </c>
      <c r="B78" s="4" t="s">
        <v>164</v>
      </c>
      <c r="C78" s="4" t="s">
        <v>165</v>
      </c>
      <c r="D78" s="9" t="s">
        <v>66</v>
      </c>
      <c r="E78" s="6">
        <f t="shared" si="2"/>
        <v>6</v>
      </c>
      <c r="F78">
        <v>6</v>
      </c>
    </row>
    <row r="79" spans="1:6" x14ac:dyDescent="0.2">
      <c r="A79">
        <v>78</v>
      </c>
      <c r="B79" s="4" t="s">
        <v>166</v>
      </c>
      <c r="C79" s="4" t="s">
        <v>167</v>
      </c>
      <c r="D79" s="9" t="s">
        <v>66</v>
      </c>
      <c r="E79" s="6">
        <f t="shared" si="2"/>
        <v>6</v>
      </c>
      <c r="F79">
        <v>6</v>
      </c>
    </row>
    <row r="80" spans="1:6" x14ac:dyDescent="0.2">
      <c r="A80">
        <v>79</v>
      </c>
      <c r="B80" s="4" t="s">
        <v>168</v>
      </c>
      <c r="C80" s="4" t="s">
        <v>169</v>
      </c>
      <c r="D80" s="11" t="s">
        <v>84</v>
      </c>
      <c r="E80" s="6">
        <f t="shared" si="2"/>
        <v>4</v>
      </c>
      <c r="F80">
        <v>1</v>
      </c>
    </row>
    <row r="81" spans="1:6" x14ac:dyDescent="0.2">
      <c r="A81">
        <v>80</v>
      </c>
      <c r="B81" s="4" t="s">
        <v>170</v>
      </c>
      <c r="C81" s="4" t="s">
        <v>171</v>
      </c>
      <c r="D81" s="11" t="s">
        <v>84</v>
      </c>
      <c r="E81" s="6">
        <f t="shared" si="2"/>
        <v>4</v>
      </c>
      <c r="F81">
        <v>1</v>
      </c>
    </row>
    <row r="82" spans="1:6" x14ac:dyDescent="0.2">
      <c r="A82">
        <v>81</v>
      </c>
      <c r="B82" s="4" t="s">
        <v>172</v>
      </c>
      <c r="C82" s="4" t="s">
        <v>173</v>
      </c>
      <c r="D82" s="11" t="s">
        <v>84</v>
      </c>
      <c r="E82" s="6">
        <f t="shared" si="2"/>
        <v>4</v>
      </c>
      <c r="F82">
        <v>1</v>
      </c>
    </row>
    <row r="83" spans="1:6" x14ac:dyDescent="0.2">
      <c r="A83">
        <v>82</v>
      </c>
      <c r="B83" s="4" t="s">
        <v>174</v>
      </c>
      <c r="C83" s="4" t="s">
        <v>175</v>
      </c>
      <c r="D83" s="11" t="s">
        <v>84</v>
      </c>
      <c r="E83" s="6">
        <f t="shared" si="2"/>
        <v>4</v>
      </c>
      <c r="F83">
        <v>1</v>
      </c>
    </row>
    <row r="84" spans="1:6" x14ac:dyDescent="0.2">
      <c r="A84">
        <v>83</v>
      </c>
      <c r="B84" s="4" t="s">
        <v>176</v>
      </c>
      <c r="C84" s="4" t="s">
        <v>177</v>
      </c>
      <c r="D84" s="11" t="s">
        <v>84</v>
      </c>
      <c r="E84" s="6">
        <f t="shared" si="2"/>
        <v>4</v>
      </c>
      <c r="F84">
        <v>7</v>
      </c>
    </row>
    <row r="85" spans="1:6" x14ac:dyDescent="0.2">
      <c r="A85">
        <v>84</v>
      </c>
      <c r="B85" s="4" t="s">
        <v>178</v>
      </c>
      <c r="C85" s="4" t="s">
        <v>179</v>
      </c>
      <c r="D85" s="11" t="s">
        <v>84</v>
      </c>
      <c r="E85" s="6">
        <f t="shared" si="2"/>
        <v>4</v>
      </c>
      <c r="F85">
        <v>7</v>
      </c>
    </row>
    <row r="86" spans="1:6" x14ac:dyDescent="0.2">
      <c r="A86">
        <v>85</v>
      </c>
      <c r="B86" s="4" t="s">
        <v>180</v>
      </c>
      <c r="C86" s="4" t="s">
        <v>181</v>
      </c>
      <c r="D86" s="11" t="s">
        <v>84</v>
      </c>
      <c r="E86" s="6">
        <f t="shared" si="2"/>
        <v>4</v>
      </c>
      <c r="F86">
        <v>1</v>
      </c>
    </row>
    <row r="87" spans="1:6" x14ac:dyDescent="0.2">
      <c r="A87">
        <v>86</v>
      </c>
      <c r="B87" s="4" t="s">
        <v>182</v>
      </c>
      <c r="C87" s="4" t="s">
        <v>183</v>
      </c>
      <c r="D87" s="11" t="s">
        <v>84</v>
      </c>
      <c r="E87" s="6">
        <f t="shared" si="2"/>
        <v>4</v>
      </c>
      <c r="F87">
        <v>5</v>
      </c>
    </row>
    <row r="88" spans="1:6" x14ac:dyDescent="0.2">
      <c r="A88">
        <v>87</v>
      </c>
      <c r="B88" s="4" t="s">
        <v>184</v>
      </c>
      <c r="C88" s="4" t="s">
        <v>185</v>
      </c>
      <c r="D88" s="11" t="s">
        <v>84</v>
      </c>
      <c r="E88" s="6">
        <f t="shared" si="2"/>
        <v>4</v>
      </c>
      <c r="F88">
        <v>7</v>
      </c>
    </row>
    <row r="89" spans="1:6" x14ac:dyDescent="0.2">
      <c r="A89">
        <v>88</v>
      </c>
      <c r="B89" s="4" t="s">
        <v>186</v>
      </c>
      <c r="C89" s="4" t="s">
        <v>187</v>
      </c>
      <c r="D89" s="11" t="s">
        <v>84</v>
      </c>
      <c r="E89" s="6">
        <f t="shared" si="2"/>
        <v>4</v>
      </c>
      <c r="F89">
        <v>7</v>
      </c>
    </row>
    <row r="90" spans="1:6" x14ac:dyDescent="0.2">
      <c r="A90">
        <v>89</v>
      </c>
      <c r="B90" s="4" t="s">
        <v>188</v>
      </c>
      <c r="C90" s="4" t="s">
        <v>189</v>
      </c>
      <c r="D90" s="11" t="s">
        <v>84</v>
      </c>
      <c r="E90" s="6">
        <f t="shared" si="2"/>
        <v>4</v>
      </c>
      <c r="F90">
        <v>5</v>
      </c>
    </row>
    <row r="91" spans="1:6" x14ac:dyDescent="0.2">
      <c r="A91">
        <v>90</v>
      </c>
      <c r="B91" s="4" t="s">
        <v>190</v>
      </c>
      <c r="C91" s="4" t="s">
        <v>191</v>
      </c>
      <c r="D91" s="11" t="s">
        <v>84</v>
      </c>
      <c r="E91" s="6">
        <f t="shared" si="2"/>
        <v>4</v>
      </c>
      <c r="F91">
        <v>5</v>
      </c>
    </row>
  </sheetData>
  <autoFilter ref="A1:F91" xr:uid="{00000000-0009-0000-0000-000001000000}"/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P108"/>
  <sheetViews>
    <sheetView topLeftCell="G1" workbookViewId="0">
      <selection activeCell="N92" sqref="N3:N92"/>
    </sheetView>
  </sheetViews>
  <sheetFormatPr defaultColWidth="9" defaultRowHeight="12.75" x14ac:dyDescent="0.2"/>
  <cols>
    <col min="1" max="1" width="7" style="3" customWidth="1"/>
    <col min="2" max="2" width="18.75" style="4" customWidth="1"/>
    <col min="3" max="3" width="37.25" style="4" customWidth="1"/>
    <col min="4" max="4" width="13.375" style="4" customWidth="1"/>
    <col min="5" max="10" width="8.75" style="5" customWidth="1"/>
    <col min="11" max="11" width="20" style="3" customWidth="1"/>
    <col min="12" max="12" width="36.25" style="4" customWidth="1"/>
    <col min="13" max="13" width="15.75" style="4" customWidth="1"/>
    <col min="14" max="14" width="22.75" style="4" customWidth="1"/>
    <col min="15" max="256" width="9" style="4"/>
    <col min="257" max="257" width="7" style="4" customWidth="1"/>
    <col min="258" max="258" width="18.75" style="4" customWidth="1"/>
    <col min="259" max="259" width="37.25" style="4" customWidth="1"/>
    <col min="260" max="260" width="13.375" style="4" customWidth="1"/>
    <col min="261" max="266" width="8.75" style="4" customWidth="1"/>
    <col min="267" max="267" width="20" style="4" customWidth="1"/>
    <col min="268" max="268" width="36.25" style="4" customWidth="1"/>
    <col min="269" max="269" width="15.75" style="4" customWidth="1"/>
    <col min="270" max="270" width="22.75" style="4" customWidth="1"/>
    <col min="271" max="512" width="9" style="4"/>
    <col min="513" max="513" width="7" style="4" customWidth="1"/>
    <col min="514" max="514" width="18.75" style="4" customWidth="1"/>
    <col min="515" max="515" width="37.25" style="4" customWidth="1"/>
    <col min="516" max="516" width="13.375" style="4" customWidth="1"/>
    <col min="517" max="522" width="8.75" style="4" customWidth="1"/>
    <col min="523" max="523" width="20" style="4" customWidth="1"/>
    <col min="524" max="524" width="36.25" style="4" customWidth="1"/>
    <col min="525" max="525" width="15.75" style="4" customWidth="1"/>
    <col min="526" max="526" width="22.75" style="4" customWidth="1"/>
    <col min="527" max="768" width="9" style="4"/>
    <col min="769" max="769" width="7" style="4" customWidth="1"/>
    <col min="770" max="770" width="18.75" style="4" customWidth="1"/>
    <col min="771" max="771" width="37.25" style="4" customWidth="1"/>
    <col min="772" max="772" width="13.375" style="4" customWidth="1"/>
    <col min="773" max="778" width="8.75" style="4" customWidth="1"/>
    <col min="779" max="779" width="20" style="4" customWidth="1"/>
    <col min="780" max="780" width="36.25" style="4" customWidth="1"/>
    <col min="781" max="781" width="15.75" style="4" customWidth="1"/>
    <col min="782" max="782" width="22.75" style="4" customWidth="1"/>
    <col min="783" max="1024" width="9" style="4"/>
    <col min="1025" max="1025" width="7" style="4" customWidth="1"/>
    <col min="1026" max="1026" width="18.75" style="4" customWidth="1"/>
    <col min="1027" max="1027" width="37.25" style="4" customWidth="1"/>
    <col min="1028" max="1028" width="13.375" style="4" customWidth="1"/>
    <col min="1029" max="1034" width="8.75" style="4" customWidth="1"/>
    <col min="1035" max="1035" width="20" style="4" customWidth="1"/>
    <col min="1036" max="1036" width="36.25" style="4" customWidth="1"/>
    <col min="1037" max="1037" width="15.75" style="4" customWidth="1"/>
    <col min="1038" max="1038" width="22.75" style="4" customWidth="1"/>
    <col min="1039" max="1280" width="9" style="4"/>
    <col min="1281" max="1281" width="7" style="4" customWidth="1"/>
    <col min="1282" max="1282" width="18.75" style="4" customWidth="1"/>
    <col min="1283" max="1283" width="37.25" style="4" customWidth="1"/>
    <col min="1284" max="1284" width="13.375" style="4" customWidth="1"/>
    <col min="1285" max="1290" width="8.75" style="4" customWidth="1"/>
    <col min="1291" max="1291" width="20" style="4" customWidth="1"/>
    <col min="1292" max="1292" width="36.25" style="4" customWidth="1"/>
    <col min="1293" max="1293" width="15.75" style="4" customWidth="1"/>
    <col min="1294" max="1294" width="22.75" style="4" customWidth="1"/>
    <col min="1295" max="1536" width="9" style="4"/>
    <col min="1537" max="1537" width="7" style="4" customWidth="1"/>
    <col min="1538" max="1538" width="18.75" style="4" customWidth="1"/>
    <col min="1539" max="1539" width="37.25" style="4" customWidth="1"/>
    <col min="1540" max="1540" width="13.375" style="4" customWidth="1"/>
    <col min="1541" max="1546" width="8.75" style="4" customWidth="1"/>
    <col min="1547" max="1547" width="20" style="4" customWidth="1"/>
    <col min="1548" max="1548" width="36.25" style="4" customWidth="1"/>
    <col min="1549" max="1549" width="15.75" style="4" customWidth="1"/>
    <col min="1550" max="1550" width="22.75" style="4" customWidth="1"/>
    <col min="1551" max="1792" width="9" style="4"/>
    <col min="1793" max="1793" width="7" style="4" customWidth="1"/>
    <col min="1794" max="1794" width="18.75" style="4" customWidth="1"/>
    <col min="1795" max="1795" width="37.25" style="4" customWidth="1"/>
    <col min="1796" max="1796" width="13.375" style="4" customWidth="1"/>
    <col min="1797" max="1802" width="8.75" style="4" customWidth="1"/>
    <col min="1803" max="1803" width="20" style="4" customWidth="1"/>
    <col min="1804" max="1804" width="36.25" style="4" customWidth="1"/>
    <col min="1805" max="1805" width="15.75" style="4" customWidth="1"/>
    <col min="1806" max="1806" width="22.75" style="4" customWidth="1"/>
    <col min="1807" max="2048" width="9" style="4"/>
    <col min="2049" max="2049" width="7" style="4" customWidth="1"/>
    <col min="2050" max="2050" width="18.75" style="4" customWidth="1"/>
    <col min="2051" max="2051" width="37.25" style="4" customWidth="1"/>
    <col min="2052" max="2052" width="13.375" style="4" customWidth="1"/>
    <col min="2053" max="2058" width="8.75" style="4" customWidth="1"/>
    <col min="2059" max="2059" width="20" style="4" customWidth="1"/>
    <col min="2060" max="2060" width="36.25" style="4" customWidth="1"/>
    <col min="2061" max="2061" width="15.75" style="4" customWidth="1"/>
    <col min="2062" max="2062" width="22.75" style="4" customWidth="1"/>
    <col min="2063" max="2304" width="9" style="4"/>
    <col min="2305" max="2305" width="7" style="4" customWidth="1"/>
    <col min="2306" max="2306" width="18.75" style="4" customWidth="1"/>
    <col min="2307" max="2307" width="37.25" style="4" customWidth="1"/>
    <col min="2308" max="2308" width="13.375" style="4" customWidth="1"/>
    <col min="2309" max="2314" width="8.75" style="4" customWidth="1"/>
    <col min="2315" max="2315" width="20" style="4" customWidth="1"/>
    <col min="2316" max="2316" width="36.25" style="4" customWidth="1"/>
    <col min="2317" max="2317" width="15.75" style="4" customWidth="1"/>
    <col min="2318" max="2318" width="22.75" style="4" customWidth="1"/>
    <col min="2319" max="2560" width="9" style="4"/>
    <col min="2561" max="2561" width="7" style="4" customWidth="1"/>
    <col min="2562" max="2562" width="18.75" style="4" customWidth="1"/>
    <col min="2563" max="2563" width="37.25" style="4" customWidth="1"/>
    <col min="2564" max="2564" width="13.375" style="4" customWidth="1"/>
    <col min="2565" max="2570" width="8.75" style="4" customWidth="1"/>
    <col min="2571" max="2571" width="20" style="4" customWidth="1"/>
    <col min="2572" max="2572" width="36.25" style="4" customWidth="1"/>
    <col min="2573" max="2573" width="15.75" style="4" customWidth="1"/>
    <col min="2574" max="2574" width="22.75" style="4" customWidth="1"/>
    <col min="2575" max="2816" width="9" style="4"/>
    <col min="2817" max="2817" width="7" style="4" customWidth="1"/>
    <col min="2818" max="2818" width="18.75" style="4" customWidth="1"/>
    <col min="2819" max="2819" width="37.25" style="4" customWidth="1"/>
    <col min="2820" max="2820" width="13.375" style="4" customWidth="1"/>
    <col min="2821" max="2826" width="8.75" style="4" customWidth="1"/>
    <col min="2827" max="2827" width="20" style="4" customWidth="1"/>
    <col min="2828" max="2828" width="36.25" style="4" customWidth="1"/>
    <col min="2829" max="2829" width="15.75" style="4" customWidth="1"/>
    <col min="2830" max="2830" width="22.75" style="4" customWidth="1"/>
    <col min="2831" max="3072" width="9" style="4"/>
    <col min="3073" max="3073" width="7" style="4" customWidth="1"/>
    <col min="3074" max="3074" width="18.75" style="4" customWidth="1"/>
    <col min="3075" max="3075" width="37.25" style="4" customWidth="1"/>
    <col min="3076" max="3076" width="13.375" style="4" customWidth="1"/>
    <col min="3077" max="3082" width="8.75" style="4" customWidth="1"/>
    <col min="3083" max="3083" width="20" style="4" customWidth="1"/>
    <col min="3084" max="3084" width="36.25" style="4" customWidth="1"/>
    <col min="3085" max="3085" width="15.75" style="4" customWidth="1"/>
    <col min="3086" max="3086" width="22.75" style="4" customWidth="1"/>
    <col min="3087" max="3328" width="9" style="4"/>
    <col min="3329" max="3329" width="7" style="4" customWidth="1"/>
    <col min="3330" max="3330" width="18.75" style="4" customWidth="1"/>
    <col min="3331" max="3331" width="37.25" style="4" customWidth="1"/>
    <col min="3332" max="3332" width="13.375" style="4" customWidth="1"/>
    <col min="3333" max="3338" width="8.75" style="4" customWidth="1"/>
    <col min="3339" max="3339" width="20" style="4" customWidth="1"/>
    <col min="3340" max="3340" width="36.25" style="4" customWidth="1"/>
    <col min="3341" max="3341" width="15.75" style="4" customWidth="1"/>
    <col min="3342" max="3342" width="22.75" style="4" customWidth="1"/>
    <col min="3343" max="3584" width="9" style="4"/>
    <col min="3585" max="3585" width="7" style="4" customWidth="1"/>
    <col min="3586" max="3586" width="18.75" style="4" customWidth="1"/>
    <col min="3587" max="3587" width="37.25" style="4" customWidth="1"/>
    <col min="3588" max="3588" width="13.375" style="4" customWidth="1"/>
    <col min="3589" max="3594" width="8.75" style="4" customWidth="1"/>
    <col min="3595" max="3595" width="20" style="4" customWidth="1"/>
    <col min="3596" max="3596" width="36.25" style="4" customWidth="1"/>
    <col min="3597" max="3597" width="15.75" style="4" customWidth="1"/>
    <col min="3598" max="3598" width="22.75" style="4" customWidth="1"/>
    <col min="3599" max="3840" width="9" style="4"/>
    <col min="3841" max="3841" width="7" style="4" customWidth="1"/>
    <col min="3842" max="3842" width="18.75" style="4" customWidth="1"/>
    <col min="3843" max="3843" width="37.25" style="4" customWidth="1"/>
    <col min="3844" max="3844" width="13.375" style="4" customWidth="1"/>
    <col min="3845" max="3850" width="8.75" style="4" customWidth="1"/>
    <col min="3851" max="3851" width="20" style="4" customWidth="1"/>
    <col min="3852" max="3852" width="36.25" style="4" customWidth="1"/>
    <col min="3853" max="3853" width="15.75" style="4" customWidth="1"/>
    <col min="3854" max="3854" width="22.75" style="4" customWidth="1"/>
    <col min="3855" max="4096" width="9" style="4"/>
    <col min="4097" max="4097" width="7" style="4" customWidth="1"/>
    <col min="4098" max="4098" width="18.75" style="4" customWidth="1"/>
    <col min="4099" max="4099" width="37.25" style="4" customWidth="1"/>
    <col min="4100" max="4100" width="13.375" style="4" customWidth="1"/>
    <col min="4101" max="4106" width="8.75" style="4" customWidth="1"/>
    <col min="4107" max="4107" width="20" style="4" customWidth="1"/>
    <col min="4108" max="4108" width="36.25" style="4" customWidth="1"/>
    <col min="4109" max="4109" width="15.75" style="4" customWidth="1"/>
    <col min="4110" max="4110" width="22.75" style="4" customWidth="1"/>
    <col min="4111" max="4352" width="9" style="4"/>
    <col min="4353" max="4353" width="7" style="4" customWidth="1"/>
    <col min="4354" max="4354" width="18.75" style="4" customWidth="1"/>
    <col min="4355" max="4355" width="37.25" style="4" customWidth="1"/>
    <col min="4356" max="4356" width="13.375" style="4" customWidth="1"/>
    <col min="4357" max="4362" width="8.75" style="4" customWidth="1"/>
    <col min="4363" max="4363" width="20" style="4" customWidth="1"/>
    <col min="4364" max="4364" width="36.25" style="4" customWidth="1"/>
    <col min="4365" max="4365" width="15.75" style="4" customWidth="1"/>
    <col min="4366" max="4366" width="22.75" style="4" customWidth="1"/>
    <col min="4367" max="4608" width="9" style="4"/>
    <col min="4609" max="4609" width="7" style="4" customWidth="1"/>
    <col min="4610" max="4610" width="18.75" style="4" customWidth="1"/>
    <col min="4611" max="4611" width="37.25" style="4" customWidth="1"/>
    <col min="4612" max="4612" width="13.375" style="4" customWidth="1"/>
    <col min="4613" max="4618" width="8.75" style="4" customWidth="1"/>
    <col min="4619" max="4619" width="20" style="4" customWidth="1"/>
    <col min="4620" max="4620" width="36.25" style="4" customWidth="1"/>
    <col min="4621" max="4621" width="15.75" style="4" customWidth="1"/>
    <col min="4622" max="4622" width="22.75" style="4" customWidth="1"/>
    <col min="4623" max="4864" width="9" style="4"/>
    <col min="4865" max="4865" width="7" style="4" customWidth="1"/>
    <col min="4866" max="4866" width="18.75" style="4" customWidth="1"/>
    <col min="4867" max="4867" width="37.25" style="4" customWidth="1"/>
    <col min="4868" max="4868" width="13.375" style="4" customWidth="1"/>
    <col min="4869" max="4874" width="8.75" style="4" customWidth="1"/>
    <col min="4875" max="4875" width="20" style="4" customWidth="1"/>
    <col min="4876" max="4876" width="36.25" style="4" customWidth="1"/>
    <col min="4877" max="4877" width="15.75" style="4" customWidth="1"/>
    <col min="4878" max="4878" width="22.75" style="4" customWidth="1"/>
    <col min="4879" max="5120" width="9" style="4"/>
    <col min="5121" max="5121" width="7" style="4" customWidth="1"/>
    <col min="5122" max="5122" width="18.75" style="4" customWidth="1"/>
    <col min="5123" max="5123" width="37.25" style="4" customWidth="1"/>
    <col min="5124" max="5124" width="13.375" style="4" customWidth="1"/>
    <col min="5125" max="5130" width="8.75" style="4" customWidth="1"/>
    <col min="5131" max="5131" width="20" style="4" customWidth="1"/>
    <col min="5132" max="5132" width="36.25" style="4" customWidth="1"/>
    <col min="5133" max="5133" width="15.75" style="4" customWidth="1"/>
    <col min="5134" max="5134" width="22.75" style="4" customWidth="1"/>
    <col min="5135" max="5376" width="9" style="4"/>
    <col min="5377" max="5377" width="7" style="4" customWidth="1"/>
    <col min="5378" max="5378" width="18.75" style="4" customWidth="1"/>
    <col min="5379" max="5379" width="37.25" style="4" customWidth="1"/>
    <col min="5380" max="5380" width="13.375" style="4" customWidth="1"/>
    <col min="5381" max="5386" width="8.75" style="4" customWidth="1"/>
    <col min="5387" max="5387" width="20" style="4" customWidth="1"/>
    <col min="5388" max="5388" width="36.25" style="4" customWidth="1"/>
    <col min="5389" max="5389" width="15.75" style="4" customWidth="1"/>
    <col min="5390" max="5390" width="22.75" style="4" customWidth="1"/>
    <col min="5391" max="5632" width="9" style="4"/>
    <col min="5633" max="5633" width="7" style="4" customWidth="1"/>
    <col min="5634" max="5634" width="18.75" style="4" customWidth="1"/>
    <col min="5635" max="5635" width="37.25" style="4" customWidth="1"/>
    <col min="5636" max="5636" width="13.375" style="4" customWidth="1"/>
    <col min="5637" max="5642" width="8.75" style="4" customWidth="1"/>
    <col min="5643" max="5643" width="20" style="4" customWidth="1"/>
    <col min="5644" max="5644" width="36.25" style="4" customWidth="1"/>
    <col min="5645" max="5645" width="15.75" style="4" customWidth="1"/>
    <col min="5646" max="5646" width="22.75" style="4" customWidth="1"/>
    <col min="5647" max="5888" width="9" style="4"/>
    <col min="5889" max="5889" width="7" style="4" customWidth="1"/>
    <col min="5890" max="5890" width="18.75" style="4" customWidth="1"/>
    <col min="5891" max="5891" width="37.25" style="4" customWidth="1"/>
    <col min="5892" max="5892" width="13.375" style="4" customWidth="1"/>
    <col min="5893" max="5898" width="8.75" style="4" customWidth="1"/>
    <col min="5899" max="5899" width="20" style="4" customWidth="1"/>
    <col min="5900" max="5900" width="36.25" style="4" customWidth="1"/>
    <col min="5901" max="5901" width="15.75" style="4" customWidth="1"/>
    <col min="5902" max="5902" width="22.75" style="4" customWidth="1"/>
    <col min="5903" max="6144" width="9" style="4"/>
    <col min="6145" max="6145" width="7" style="4" customWidth="1"/>
    <col min="6146" max="6146" width="18.75" style="4" customWidth="1"/>
    <col min="6147" max="6147" width="37.25" style="4" customWidth="1"/>
    <col min="6148" max="6148" width="13.375" style="4" customWidth="1"/>
    <col min="6149" max="6154" width="8.75" style="4" customWidth="1"/>
    <col min="6155" max="6155" width="20" style="4" customWidth="1"/>
    <col min="6156" max="6156" width="36.25" style="4" customWidth="1"/>
    <col min="6157" max="6157" width="15.75" style="4" customWidth="1"/>
    <col min="6158" max="6158" width="22.75" style="4" customWidth="1"/>
    <col min="6159" max="6400" width="9" style="4"/>
    <col min="6401" max="6401" width="7" style="4" customWidth="1"/>
    <col min="6402" max="6402" width="18.75" style="4" customWidth="1"/>
    <col min="6403" max="6403" width="37.25" style="4" customWidth="1"/>
    <col min="6404" max="6404" width="13.375" style="4" customWidth="1"/>
    <col min="6405" max="6410" width="8.75" style="4" customWidth="1"/>
    <col min="6411" max="6411" width="20" style="4" customWidth="1"/>
    <col min="6412" max="6412" width="36.25" style="4" customWidth="1"/>
    <col min="6413" max="6413" width="15.75" style="4" customWidth="1"/>
    <col min="6414" max="6414" width="22.75" style="4" customWidth="1"/>
    <col min="6415" max="6656" width="9" style="4"/>
    <col min="6657" max="6657" width="7" style="4" customWidth="1"/>
    <col min="6658" max="6658" width="18.75" style="4" customWidth="1"/>
    <col min="6659" max="6659" width="37.25" style="4" customWidth="1"/>
    <col min="6660" max="6660" width="13.375" style="4" customWidth="1"/>
    <col min="6661" max="6666" width="8.75" style="4" customWidth="1"/>
    <col min="6667" max="6667" width="20" style="4" customWidth="1"/>
    <col min="6668" max="6668" width="36.25" style="4" customWidth="1"/>
    <col min="6669" max="6669" width="15.75" style="4" customWidth="1"/>
    <col min="6670" max="6670" width="22.75" style="4" customWidth="1"/>
    <col min="6671" max="6912" width="9" style="4"/>
    <col min="6913" max="6913" width="7" style="4" customWidth="1"/>
    <col min="6914" max="6914" width="18.75" style="4" customWidth="1"/>
    <col min="6915" max="6915" width="37.25" style="4" customWidth="1"/>
    <col min="6916" max="6916" width="13.375" style="4" customWidth="1"/>
    <col min="6917" max="6922" width="8.75" style="4" customWidth="1"/>
    <col min="6923" max="6923" width="20" style="4" customWidth="1"/>
    <col min="6924" max="6924" width="36.25" style="4" customWidth="1"/>
    <col min="6925" max="6925" width="15.75" style="4" customWidth="1"/>
    <col min="6926" max="6926" width="22.75" style="4" customWidth="1"/>
    <col min="6927" max="7168" width="9" style="4"/>
    <col min="7169" max="7169" width="7" style="4" customWidth="1"/>
    <col min="7170" max="7170" width="18.75" style="4" customWidth="1"/>
    <col min="7171" max="7171" width="37.25" style="4" customWidth="1"/>
    <col min="7172" max="7172" width="13.375" style="4" customWidth="1"/>
    <col min="7173" max="7178" width="8.75" style="4" customWidth="1"/>
    <col min="7179" max="7179" width="20" style="4" customWidth="1"/>
    <col min="7180" max="7180" width="36.25" style="4" customWidth="1"/>
    <col min="7181" max="7181" width="15.75" style="4" customWidth="1"/>
    <col min="7182" max="7182" width="22.75" style="4" customWidth="1"/>
    <col min="7183" max="7424" width="9" style="4"/>
    <col min="7425" max="7425" width="7" style="4" customWidth="1"/>
    <col min="7426" max="7426" width="18.75" style="4" customWidth="1"/>
    <col min="7427" max="7427" width="37.25" style="4" customWidth="1"/>
    <col min="7428" max="7428" width="13.375" style="4" customWidth="1"/>
    <col min="7429" max="7434" width="8.75" style="4" customWidth="1"/>
    <col min="7435" max="7435" width="20" style="4" customWidth="1"/>
    <col min="7436" max="7436" width="36.25" style="4" customWidth="1"/>
    <col min="7437" max="7437" width="15.75" style="4" customWidth="1"/>
    <col min="7438" max="7438" width="22.75" style="4" customWidth="1"/>
    <col min="7439" max="7680" width="9" style="4"/>
    <col min="7681" max="7681" width="7" style="4" customWidth="1"/>
    <col min="7682" max="7682" width="18.75" style="4" customWidth="1"/>
    <col min="7683" max="7683" width="37.25" style="4" customWidth="1"/>
    <col min="7684" max="7684" width="13.375" style="4" customWidth="1"/>
    <col min="7685" max="7690" width="8.75" style="4" customWidth="1"/>
    <col min="7691" max="7691" width="20" style="4" customWidth="1"/>
    <col min="7692" max="7692" width="36.25" style="4" customWidth="1"/>
    <col min="7693" max="7693" width="15.75" style="4" customWidth="1"/>
    <col min="7694" max="7694" width="22.75" style="4" customWidth="1"/>
    <col min="7695" max="7936" width="9" style="4"/>
    <col min="7937" max="7937" width="7" style="4" customWidth="1"/>
    <col min="7938" max="7938" width="18.75" style="4" customWidth="1"/>
    <col min="7939" max="7939" width="37.25" style="4" customWidth="1"/>
    <col min="7940" max="7940" width="13.375" style="4" customWidth="1"/>
    <col min="7941" max="7946" width="8.75" style="4" customWidth="1"/>
    <col min="7947" max="7947" width="20" style="4" customWidth="1"/>
    <col min="7948" max="7948" width="36.25" style="4" customWidth="1"/>
    <col min="7949" max="7949" width="15.75" style="4" customWidth="1"/>
    <col min="7950" max="7950" width="22.75" style="4" customWidth="1"/>
    <col min="7951" max="8192" width="9" style="4"/>
    <col min="8193" max="8193" width="7" style="4" customWidth="1"/>
    <col min="8194" max="8194" width="18.75" style="4" customWidth="1"/>
    <col min="8195" max="8195" width="37.25" style="4" customWidth="1"/>
    <col min="8196" max="8196" width="13.375" style="4" customWidth="1"/>
    <col min="8197" max="8202" width="8.75" style="4" customWidth="1"/>
    <col min="8203" max="8203" width="20" style="4" customWidth="1"/>
    <col min="8204" max="8204" width="36.25" style="4" customWidth="1"/>
    <col min="8205" max="8205" width="15.75" style="4" customWidth="1"/>
    <col min="8206" max="8206" width="22.75" style="4" customWidth="1"/>
    <col min="8207" max="8448" width="9" style="4"/>
    <col min="8449" max="8449" width="7" style="4" customWidth="1"/>
    <col min="8450" max="8450" width="18.75" style="4" customWidth="1"/>
    <col min="8451" max="8451" width="37.25" style="4" customWidth="1"/>
    <col min="8452" max="8452" width="13.375" style="4" customWidth="1"/>
    <col min="8453" max="8458" width="8.75" style="4" customWidth="1"/>
    <col min="8459" max="8459" width="20" style="4" customWidth="1"/>
    <col min="8460" max="8460" width="36.25" style="4" customWidth="1"/>
    <col min="8461" max="8461" width="15.75" style="4" customWidth="1"/>
    <col min="8462" max="8462" width="22.75" style="4" customWidth="1"/>
    <col min="8463" max="8704" width="9" style="4"/>
    <col min="8705" max="8705" width="7" style="4" customWidth="1"/>
    <col min="8706" max="8706" width="18.75" style="4" customWidth="1"/>
    <col min="8707" max="8707" width="37.25" style="4" customWidth="1"/>
    <col min="8708" max="8708" width="13.375" style="4" customWidth="1"/>
    <col min="8709" max="8714" width="8.75" style="4" customWidth="1"/>
    <col min="8715" max="8715" width="20" style="4" customWidth="1"/>
    <col min="8716" max="8716" width="36.25" style="4" customWidth="1"/>
    <col min="8717" max="8717" width="15.75" style="4" customWidth="1"/>
    <col min="8718" max="8718" width="22.75" style="4" customWidth="1"/>
    <col min="8719" max="8960" width="9" style="4"/>
    <col min="8961" max="8961" width="7" style="4" customWidth="1"/>
    <col min="8962" max="8962" width="18.75" style="4" customWidth="1"/>
    <col min="8963" max="8963" width="37.25" style="4" customWidth="1"/>
    <col min="8964" max="8964" width="13.375" style="4" customWidth="1"/>
    <col min="8965" max="8970" width="8.75" style="4" customWidth="1"/>
    <col min="8971" max="8971" width="20" style="4" customWidth="1"/>
    <col min="8972" max="8972" width="36.25" style="4" customWidth="1"/>
    <col min="8973" max="8973" width="15.75" style="4" customWidth="1"/>
    <col min="8974" max="8974" width="22.75" style="4" customWidth="1"/>
    <col min="8975" max="9216" width="9" style="4"/>
    <col min="9217" max="9217" width="7" style="4" customWidth="1"/>
    <col min="9218" max="9218" width="18.75" style="4" customWidth="1"/>
    <col min="9219" max="9219" width="37.25" style="4" customWidth="1"/>
    <col min="9220" max="9220" width="13.375" style="4" customWidth="1"/>
    <col min="9221" max="9226" width="8.75" style="4" customWidth="1"/>
    <col min="9227" max="9227" width="20" style="4" customWidth="1"/>
    <col min="9228" max="9228" width="36.25" style="4" customWidth="1"/>
    <col min="9229" max="9229" width="15.75" style="4" customWidth="1"/>
    <col min="9230" max="9230" width="22.75" style="4" customWidth="1"/>
    <col min="9231" max="9472" width="9" style="4"/>
    <col min="9473" max="9473" width="7" style="4" customWidth="1"/>
    <col min="9474" max="9474" width="18.75" style="4" customWidth="1"/>
    <col min="9475" max="9475" width="37.25" style="4" customWidth="1"/>
    <col min="9476" max="9476" width="13.375" style="4" customWidth="1"/>
    <col min="9477" max="9482" width="8.75" style="4" customWidth="1"/>
    <col min="9483" max="9483" width="20" style="4" customWidth="1"/>
    <col min="9484" max="9484" width="36.25" style="4" customWidth="1"/>
    <col min="9485" max="9485" width="15.75" style="4" customWidth="1"/>
    <col min="9486" max="9486" width="22.75" style="4" customWidth="1"/>
    <col min="9487" max="9728" width="9" style="4"/>
    <col min="9729" max="9729" width="7" style="4" customWidth="1"/>
    <col min="9730" max="9730" width="18.75" style="4" customWidth="1"/>
    <col min="9731" max="9731" width="37.25" style="4" customWidth="1"/>
    <col min="9732" max="9732" width="13.375" style="4" customWidth="1"/>
    <col min="9733" max="9738" width="8.75" style="4" customWidth="1"/>
    <col min="9739" max="9739" width="20" style="4" customWidth="1"/>
    <col min="9740" max="9740" width="36.25" style="4" customWidth="1"/>
    <col min="9741" max="9741" width="15.75" style="4" customWidth="1"/>
    <col min="9742" max="9742" width="22.75" style="4" customWidth="1"/>
    <col min="9743" max="9984" width="9" style="4"/>
    <col min="9985" max="9985" width="7" style="4" customWidth="1"/>
    <col min="9986" max="9986" width="18.75" style="4" customWidth="1"/>
    <col min="9987" max="9987" width="37.25" style="4" customWidth="1"/>
    <col min="9988" max="9988" width="13.375" style="4" customWidth="1"/>
    <col min="9989" max="9994" width="8.75" style="4" customWidth="1"/>
    <col min="9995" max="9995" width="20" style="4" customWidth="1"/>
    <col min="9996" max="9996" width="36.25" style="4" customWidth="1"/>
    <col min="9997" max="9997" width="15.75" style="4" customWidth="1"/>
    <col min="9998" max="9998" width="22.75" style="4" customWidth="1"/>
    <col min="9999" max="10240" width="9" style="4"/>
    <col min="10241" max="10241" width="7" style="4" customWidth="1"/>
    <col min="10242" max="10242" width="18.75" style="4" customWidth="1"/>
    <col min="10243" max="10243" width="37.25" style="4" customWidth="1"/>
    <col min="10244" max="10244" width="13.375" style="4" customWidth="1"/>
    <col min="10245" max="10250" width="8.75" style="4" customWidth="1"/>
    <col min="10251" max="10251" width="20" style="4" customWidth="1"/>
    <col min="10252" max="10252" width="36.25" style="4" customWidth="1"/>
    <col min="10253" max="10253" width="15.75" style="4" customWidth="1"/>
    <col min="10254" max="10254" width="22.75" style="4" customWidth="1"/>
    <col min="10255" max="10496" width="9" style="4"/>
    <col min="10497" max="10497" width="7" style="4" customWidth="1"/>
    <col min="10498" max="10498" width="18.75" style="4" customWidth="1"/>
    <col min="10499" max="10499" width="37.25" style="4" customWidth="1"/>
    <col min="10500" max="10500" width="13.375" style="4" customWidth="1"/>
    <col min="10501" max="10506" width="8.75" style="4" customWidth="1"/>
    <col min="10507" max="10507" width="20" style="4" customWidth="1"/>
    <col min="10508" max="10508" width="36.25" style="4" customWidth="1"/>
    <col min="10509" max="10509" width="15.75" style="4" customWidth="1"/>
    <col min="10510" max="10510" width="22.75" style="4" customWidth="1"/>
    <col min="10511" max="10752" width="9" style="4"/>
    <col min="10753" max="10753" width="7" style="4" customWidth="1"/>
    <col min="10754" max="10754" width="18.75" style="4" customWidth="1"/>
    <col min="10755" max="10755" width="37.25" style="4" customWidth="1"/>
    <col min="10756" max="10756" width="13.375" style="4" customWidth="1"/>
    <col min="10757" max="10762" width="8.75" style="4" customWidth="1"/>
    <col min="10763" max="10763" width="20" style="4" customWidth="1"/>
    <col min="10764" max="10764" width="36.25" style="4" customWidth="1"/>
    <col min="10765" max="10765" width="15.75" style="4" customWidth="1"/>
    <col min="10766" max="10766" width="22.75" style="4" customWidth="1"/>
    <col min="10767" max="11008" width="9" style="4"/>
    <col min="11009" max="11009" width="7" style="4" customWidth="1"/>
    <col min="11010" max="11010" width="18.75" style="4" customWidth="1"/>
    <col min="11011" max="11011" width="37.25" style="4" customWidth="1"/>
    <col min="11012" max="11012" width="13.375" style="4" customWidth="1"/>
    <col min="11013" max="11018" width="8.75" style="4" customWidth="1"/>
    <col min="11019" max="11019" width="20" style="4" customWidth="1"/>
    <col min="11020" max="11020" width="36.25" style="4" customWidth="1"/>
    <col min="11021" max="11021" width="15.75" style="4" customWidth="1"/>
    <col min="11022" max="11022" width="22.75" style="4" customWidth="1"/>
    <col min="11023" max="11264" width="9" style="4"/>
    <col min="11265" max="11265" width="7" style="4" customWidth="1"/>
    <col min="11266" max="11266" width="18.75" style="4" customWidth="1"/>
    <col min="11267" max="11267" width="37.25" style="4" customWidth="1"/>
    <col min="11268" max="11268" width="13.375" style="4" customWidth="1"/>
    <col min="11269" max="11274" width="8.75" style="4" customWidth="1"/>
    <col min="11275" max="11275" width="20" style="4" customWidth="1"/>
    <col min="11276" max="11276" width="36.25" style="4" customWidth="1"/>
    <col min="11277" max="11277" width="15.75" style="4" customWidth="1"/>
    <col min="11278" max="11278" width="22.75" style="4" customWidth="1"/>
    <col min="11279" max="11520" width="9" style="4"/>
    <col min="11521" max="11521" width="7" style="4" customWidth="1"/>
    <col min="11522" max="11522" width="18.75" style="4" customWidth="1"/>
    <col min="11523" max="11523" width="37.25" style="4" customWidth="1"/>
    <col min="11524" max="11524" width="13.375" style="4" customWidth="1"/>
    <col min="11525" max="11530" width="8.75" style="4" customWidth="1"/>
    <col min="11531" max="11531" width="20" style="4" customWidth="1"/>
    <col min="11532" max="11532" width="36.25" style="4" customWidth="1"/>
    <col min="11533" max="11533" width="15.75" style="4" customWidth="1"/>
    <col min="11534" max="11534" width="22.75" style="4" customWidth="1"/>
    <col min="11535" max="11776" width="9" style="4"/>
    <col min="11777" max="11777" width="7" style="4" customWidth="1"/>
    <col min="11778" max="11778" width="18.75" style="4" customWidth="1"/>
    <col min="11779" max="11779" width="37.25" style="4" customWidth="1"/>
    <col min="11780" max="11780" width="13.375" style="4" customWidth="1"/>
    <col min="11781" max="11786" width="8.75" style="4" customWidth="1"/>
    <col min="11787" max="11787" width="20" style="4" customWidth="1"/>
    <col min="11788" max="11788" width="36.25" style="4" customWidth="1"/>
    <col min="11789" max="11789" width="15.75" style="4" customWidth="1"/>
    <col min="11790" max="11790" width="22.75" style="4" customWidth="1"/>
    <col min="11791" max="12032" width="9" style="4"/>
    <col min="12033" max="12033" width="7" style="4" customWidth="1"/>
    <col min="12034" max="12034" width="18.75" style="4" customWidth="1"/>
    <col min="12035" max="12035" width="37.25" style="4" customWidth="1"/>
    <col min="12036" max="12036" width="13.375" style="4" customWidth="1"/>
    <col min="12037" max="12042" width="8.75" style="4" customWidth="1"/>
    <col min="12043" max="12043" width="20" style="4" customWidth="1"/>
    <col min="12044" max="12044" width="36.25" style="4" customWidth="1"/>
    <col min="12045" max="12045" width="15.75" style="4" customWidth="1"/>
    <col min="12046" max="12046" width="22.75" style="4" customWidth="1"/>
    <col min="12047" max="12288" width="9" style="4"/>
    <col min="12289" max="12289" width="7" style="4" customWidth="1"/>
    <col min="12290" max="12290" width="18.75" style="4" customWidth="1"/>
    <col min="12291" max="12291" width="37.25" style="4" customWidth="1"/>
    <col min="12292" max="12292" width="13.375" style="4" customWidth="1"/>
    <col min="12293" max="12298" width="8.75" style="4" customWidth="1"/>
    <col min="12299" max="12299" width="20" style="4" customWidth="1"/>
    <col min="12300" max="12300" width="36.25" style="4" customWidth="1"/>
    <col min="12301" max="12301" width="15.75" style="4" customWidth="1"/>
    <col min="12302" max="12302" width="22.75" style="4" customWidth="1"/>
    <col min="12303" max="12544" width="9" style="4"/>
    <col min="12545" max="12545" width="7" style="4" customWidth="1"/>
    <col min="12546" max="12546" width="18.75" style="4" customWidth="1"/>
    <col min="12547" max="12547" width="37.25" style="4" customWidth="1"/>
    <col min="12548" max="12548" width="13.375" style="4" customWidth="1"/>
    <col min="12549" max="12554" width="8.75" style="4" customWidth="1"/>
    <col min="12555" max="12555" width="20" style="4" customWidth="1"/>
    <col min="12556" max="12556" width="36.25" style="4" customWidth="1"/>
    <col min="12557" max="12557" width="15.75" style="4" customWidth="1"/>
    <col min="12558" max="12558" width="22.75" style="4" customWidth="1"/>
    <col min="12559" max="12800" width="9" style="4"/>
    <col min="12801" max="12801" width="7" style="4" customWidth="1"/>
    <col min="12802" max="12802" width="18.75" style="4" customWidth="1"/>
    <col min="12803" max="12803" width="37.25" style="4" customWidth="1"/>
    <col min="12804" max="12804" width="13.375" style="4" customWidth="1"/>
    <col min="12805" max="12810" width="8.75" style="4" customWidth="1"/>
    <col min="12811" max="12811" width="20" style="4" customWidth="1"/>
    <col min="12812" max="12812" width="36.25" style="4" customWidth="1"/>
    <col min="12813" max="12813" width="15.75" style="4" customWidth="1"/>
    <col min="12814" max="12814" width="22.75" style="4" customWidth="1"/>
    <col min="12815" max="13056" width="9" style="4"/>
    <col min="13057" max="13057" width="7" style="4" customWidth="1"/>
    <col min="13058" max="13058" width="18.75" style="4" customWidth="1"/>
    <col min="13059" max="13059" width="37.25" style="4" customWidth="1"/>
    <col min="13060" max="13060" width="13.375" style="4" customWidth="1"/>
    <col min="13061" max="13066" width="8.75" style="4" customWidth="1"/>
    <col min="13067" max="13067" width="20" style="4" customWidth="1"/>
    <col min="13068" max="13068" width="36.25" style="4" customWidth="1"/>
    <col min="13069" max="13069" width="15.75" style="4" customWidth="1"/>
    <col min="13070" max="13070" width="22.75" style="4" customWidth="1"/>
    <col min="13071" max="13312" width="9" style="4"/>
    <col min="13313" max="13313" width="7" style="4" customWidth="1"/>
    <col min="13314" max="13314" width="18.75" style="4" customWidth="1"/>
    <col min="13315" max="13315" width="37.25" style="4" customWidth="1"/>
    <col min="13316" max="13316" width="13.375" style="4" customWidth="1"/>
    <col min="13317" max="13322" width="8.75" style="4" customWidth="1"/>
    <col min="13323" max="13323" width="20" style="4" customWidth="1"/>
    <col min="13324" max="13324" width="36.25" style="4" customWidth="1"/>
    <col min="13325" max="13325" width="15.75" style="4" customWidth="1"/>
    <col min="13326" max="13326" width="22.75" style="4" customWidth="1"/>
    <col min="13327" max="13568" width="9" style="4"/>
    <col min="13569" max="13569" width="7" style="4" customWidth="1"/>
    <col min="13570" max="13570" width="18.75" style="4" customWidth="1"/>
    <col min="13571" max="13571" width="37.25" style="4" customWidth="1"/>
    <col min="13572" max="13572" width="13.375" style="4" customWidth="1"/>
    <col min="13573" max="13578" width="8.75" style="4" customWidth="1"/>
    <col min="13579" max="13579" width="20" style="4" customWidth="1"/>
    <col min="13580" max="13580" width="36.25" style="4" customWidth="1"/>
    <col min="13581" max="13581" width="15.75" style="4" customWidth="1"/>
    <col min="13582" max="13582" width="22.75" style="4" customWidth="1"/>
    <col min="13583" max="13824" width="9" style="4"/>
    <col min="13825" max="13825" width="7" style="4" customWidth="1"/>
    <col min="13826" max="13826" width="18.75" style="4" customWidth="1"/>
    <col min="13827" max="13827" width="37.25" style="4" customWidth="1"/>
    <col min="13828" max="13828" width="13.375" style="4" customWidth="1"/>
    <col min="13829" max="13834" width="8.75" style="4" customWidth="1"/>
    <col min="13835" max="13835" width="20" style="4" customWidth="1"/>
    <col min="13836" max="13836" width="36.25" style="4" customWidth="1"/>
    <col min="13837" max="13837" width="15.75" style="4" customWidth="1"/>
    <col min="13838" max="13838" width="22.75" style="4" customWidth="1"/>
    <col min="13839" max="14080" width="9" style="4"/>
    <col min="14081" max="14081" width="7" style="4" customWidth="1"/>
    <col min="14082" max="14082" width="18.75" style="4" customWidth="1"/>
    <col min="14083" max="14083" width="37.25" style="4" customWidth="1"/>
    <col min="14084" max="14084" width="13.375" style="4" customWidth="1"/>
    <col min="14085" max="14090" width="8.75" style="4" customWidth="1"/>
    <col min="14091" max="14091" width="20" style="4" customWidth="1"/>
    <col min="14092" max="14092" width="36.25" style="4" customWidth="1"/>
    <col min="14093" max="14093" width="15.75" style="4" customWidth="1"/>
    <col min="14094" max="14094" width="22.75" style="4" customWidth="1"/>
    <col min="14095" max="14336" width="9" style="4"/>
    <col min="14337" max="14337" width="7" style="4" customWidth="1"/>
    <col min="14338" max="14338" width="18.75" style="4" customWidth="1"/>
    <col min="14339" max="14339" width="37.25" style="4" customWidth="1"/>
    <col min="14340" max="14340" width="13.375" style="4" customWidth="1"/>
    <col min="14341" max="14346" width="8.75" style="4" customWidth="1"/>
    <col min="14347" max="14347" width="20" style="4" customWidth="1"/>
    <col min="14348" max="14348" width="36.25" style="4" customWidth="1"/>
    <col min="14349" max="14349" width="15.75" style="4" customWidth="1"/>
    <col min="14350" max="14350" width="22.75" style="4" customWidth="1"/>
    <col min="14351" max="14592" width="9" style="4"/>
    <col min="14593" max="14593" width="7" style="4" customWidth="1"/>
    <col min="14594" max="14594" width="18.75" style="4" customWidth="1"/>
    <col min="14595" max="14595" width="37.25" style="4" customWidth="1"/>
    <col min="14596" max="14596" width="13.375" style="4" customWidth="1"/>
    <col min="14597" max="14602" width="8.75" style="4" customWidth="1"/>
    <col min="14603" max="14603" width="20" style="4" customWidth="1"/>
    <col min="14604" max="14604" width="36.25" style="4" customWidth="1"/>
    <col min="14605" max="14605" width="15.75" style="4" customWidth="1"/>
    <col min="14606" max="14606" width="22.75" style="4" customWidth="1"/>
    <col min="14607" max="14848" width="9" style="4"/>
    <col min="14849" max="14849" width="7" style="4" customWidth="1"/>
    <col min="14850" max="14850" width="18.75" style="4" customWidth="1"/>
    <col min="14851" max="14851" width="37.25" style="4" customWidth="1"/>
    <col min="14852" max="14852" width="13.375" style="4" customWidth="1"/>
    <col min="14853" max="14858" width="8.75" style="4" customWidth="1"/>
    <col min="14859" max="14859" width="20" style="4" customWidth="1"/>
    <col min="14860" max="14860" width="36.25" style="4" customWidth="1"/>
    <col min="14861" max="14861" width="15.75" style="4" customWidth="1"/>
    <col min="14862" max="14862" width="22.75" style="4" customWidth="1"/>
    <col min="14863" max="15104" width="9" style="4"/>
    <col min="15105" max="15105" width="7" style="4" customWidth="1"/>
    <col min="15106" max="15106" width="18.75" style="4" customWidth="1"/>
    <col min="15107" max="15107" width="37.25" style="4" customWidth="1"/>
    <col min="15108" max="15108" width="13.375" style="4" customWidth="1"/>
    <col min="15109" max="15114" width="8.75" style="4" customWidth="1"/>
    <col min="15115" max="15115" width="20" style="4" customWidth="1"/>
    <col min="15116" max="15116" width="36.25" style="4" customWidth="1"/>
    <col min="15117" max="15117" width="15.75" style="4" customWidth="1"/>
    <col min="15118" max="15118" width="22.75" style="4" customWidth="1"/>
    <col min="15119" max="15360" width="9" style="4"/>
    <col min="15361" max="15361" width="7" style="4" customWidth="1"/>
    <col min="15362" max="15362" width="18.75" style="4" customWidth="1"/>
    <col min="15363" max="15363" width="37.25" style="4" customWidth="1"/>
    <col min="15364" max="15364" width="13.375" style="4" customWidth="1"/>
    <col min="15365" max="15370" width="8.75" style="4" customWidth="1"/>
    <col min="15371" max="15371" width="20" style="4" customWidth="1"/>
    <col min="15372" max="15372" width="36.25" style="4" customWidth="1"/>
    <col min="15373" max="15373" width="15.75" style="4" customWidth="1"/>
    <col min="15374" max="15374" width="22.75" style="4" customWidth="1"/>
    <col min="15375" max="15616" width="9" style="4"/>
    <col min="15617" max="15617" width="7" style="4" customWidth="1"/>
    <col min="15618" max="15618" width="18.75" style="4" customWidth="1"/>
    <col min="15619" max="15619" width="37.25" style="4" customWidth="1"/>
    <col min="15620" max="15620" width="13.375" style="4" customWidth="1"/>
    <col min="15621" max="15626" width="8.75" style="4" customWidth="1"/>
    <col min="15627" max="15627" width="20" style="4" customWidth="1"/>
    <col min="15628" max="15628" width="36.25" style="4" customWidth="1"/>
    <col min="15629" max="15629" width="15.75" style="4" customWidth="1"/>
    <col min="15630" max="15630" width="22.75" style="4" customWidth="1"/>
    <col min="15631" max="15872" width="9" style="4"/>
    <col min="15873" max="15873" width="7" style="4" customWidth="1"/>
    <col min="15874" max="15874" width="18.75" style="4" customWidth="1"/>
    <col min="15875" max="15875" width="37.25" style="4" customWidth="1"/>
    <col min="15876" max="15876" width="13.375" style="4" customWidth="1"/>
    <col min="15877" max="15882" width="8.75" style="4" customWidth="1"/>
    <col min="15883" max="15883" width="20" style="4" customWidth="1"/>
    <col min="15884" max="15884" width="36.25" style="4" customWidth="1"/>
    <col min="15885" max="15885" width="15.75" style="4" customWidth="1"/>
    <col min="15886" max="15886" width="22.75" style="4" customWidth="1"/>
    <col min="15887" max="16128" width="9" style="4"/>
    <col min="16129" max="16129" width="7" style="4" customWidth="1"/>
    <col min="16130" max="16130" width="18.75" style="4" customWidth="1"/>
    <col min="16131" max="16131" width="37.25" style="4" customWidth="1"/>
    <col min="16132" max="16132" width="13.375" style="4" customWidth="1"/>
    <col min="16133" max="16138" width="8.75" style="4" customWidth="1"/>
    <col min="16139" max="16139" width="20" style="4" customWidth="1"/>
    <col min="16140" max="16140" width="36.25" style="4" customWidth="1"/>
    <col min="16141" max="16141" width="15.75" style="4" customWidth="1"/>
    <col min="16142" max="16142" width="22.75" style="4" customWidth="1"/>
    <col min="16143" max="16384" width="9" style="4"/>
  </cols>
  <sheetData>
    <row r="1" spans="1:14" x14ac:dyDescent="0.2">
      <c r="E1" s="25" t="s">
        <v>193</v>
      </c>
      <c r="F1" s="25"/>
      <c r="G1" s="25"/>
      <c r="H1" s="25" t="s">
        <v>193</v>
      </c>
      <c r="I1" s="25"/>
      <c r="J1" s="25"/>
      <c r="K1" s="5"/>
    </row>
    <row r="2" spans="1:14" s="2" customFormat="1" x14ac:dyDescent="0.2">
      <c r="A2" s="6" t="s">
        <v>194</v>
      </c>
      <c r="B2" s="2" t="s">
        <v>195</v>
      </c>
      <c r="C2" s="2" t="s">
        <v>195</v>
      </c>
      <c r="D2" s="2" t="s">
        <v>196</v>
      </c>
      <c r="E2" s="6" t="s">
        <v>197</v>
      </c>
      <c r="F2" s="6" t="s">
        <v>198</v>
      </c>
      <c r="G2" s="6" t="s">
        <v>199</v>
      </c>
      <c r="H2" s="6" t="s">
        <v>200</v>
      </c>
      <c r="I2" s="6" t="s">
        <v>201</v>
      </c>
      <c r="J2" s="6" t="s">
        <v>202</v>
      </c>
      <c r="K2" s="6" t="s">
        <v>203</v>
      </c>
      <c r="L2" s="26" t="s">
        <v>204</v>
      </c>
      <c r="M2" s="27"/>
      <c r="N2" s="6" t="s">
        <v>5</v>
      </c>
    </row>
    <row r="3" spans="1:14" ht="14.25" x14ac:dyDescent="0.2">
      <c r="A3" s="3">
        <v>1</v>
      </c>
      <c r="B3" s="4" t="s">
        <v>6</v>
      </c>
      <c r="C3" s="4" t="s">
        <v>205</v>
      </c>
      <c r="D3" s="4" t="s">
        <v>7</v>
      </c>
      <c r="E3" s="7">
        <v>51.350429473983098</v>
      </c>
      <c r="F3" s="7">
        <v>120.316674948534</v>
      </c>
      <c r="G3" s="7">
        <v>122.944203875913</v>
      </c>
      <c r="H3" s="8">
        <v>-38.6495999999999</v>
      </c>
      <c r="I3" s="8">
        <v>-5.6833</v>
      </c>
      <c r="J3" s="8">
        <v>50.944199999999903</v>
      </c>
      <c r="K3" s="3">
        <v>1028</v>
      </c>
      <c r="L3" s="9" t="s">
        <v>206</v>
      </c>
      <c r="M3" s="10"/>
      <c r="N3" s="11" t="s">
        <v>8</v>
      </c>
    </row>
    <row r="4" spans="1:14" ht="14.25" x14ac:dyDescent="0.2">
      <c r="A4" s="3">
        <v>2</v>
      </c>
      <c r="B4" s="4" t="s">
        <v>9</v>
      </c>
      <c r="C4" s="4" t="s">
        <v>205</v>
      </c>
      <c r="D4" s="4" t="s">
        <v>10</v>
      </c>
      <c r="E4" s="7">
        <v>131.37456574765301</v>
      </c>
      <c r="F4" s="7">
        <v>117.786939167713</v>
      </c>
      <c r="G4" s="7">
        <v>124.092024539877</v>
      </c>
      <c r="H4" s="8">
        <v>41.374599999999901</v>
      </c>
      <c r="I4" s="8">
        <v>-8.2130999999999901</v>
      </c>
      <c r="J4" s="8">
        <v>52.091999999999899</v>
      </c>
      <c r="K4" s="3">
        <v>1002</v>
      </c>
      <c r="L4" s="9" t="s">
        <v>206</v>
      </c>
      <c r="M4" s="10"/>
      <c r="N4" s="11" t="s">
        <v>8</v>
      </c>
    </row>
    <row r="5" spans="1:14" x14ac:dyDescent="0.2">
      <c r="A5" s="3">
        <v>3</v>
      </c>
      <c r="B5" s="4" t="s">
        <v>11</v>
      </c>
      <c r="C5" s="4" t="s">
        <v>207</v>
      </c>
      <c r="D5" s="4" t="s">
        <v>12</v>
      </c>
      <c r="E5" s="7">
        <v>71.554314369704301</v>
      </c>
      <c r="F5" s="7">
        <v>160.808127269583</v>
      </c>
      <c r="G5" s="7">
        <v>114.201729206294</v>
      </c>
      <c r="H5" s="8">
        <v>-18.445699999999999</v>
      </c>
      <c r="I5" s="8">
        <v>34.808099999999897</v>
      </c>
      <c r="J5" s="8">
        <v>42.201700000000002</v>
      </c>
      <c r="K5" s="3">
        <v>1076</v>
      </c>
      <c r="L5" s="9" t="s">
        <v>208</v>
      </c>
      <c r="M5" s="12" t="s">
        <v>209</v>
      </c>
      <c r="N5" s="11" t="s">
        <v>13</v>
      </c>
    </row>
    <row r="6" spans="1:14" x14ac:dyDescent="0.2">
      <c r="A6" s="3">
        <v>4</v>
      </c>
      <c r="B6" s="4" t="s">
        <v>14</v>
      </c>
      <c r="C6" s="4" t="s">
        <v>207</v>
      </c>
      <c r="D6" s="4" t="s">
        <v>15</v>
      </c>
      <c r="E6" s="7">
        <v>111.89971641372399</v>
      </c>
      <c r="F6" s="7">
        <v>157.120103462245</v>
      </c>
      <c r="G6" s="7">
        <v>115.815357287544</v>
      </c>
      <c r="H6" s="8">
        <v>21.8996999999999</v>
      </c>
      <c r="I6" s="8">
        <v>31.120100000000001</v>
      </c>
      <c r="J6" s="8">
        <v>43.815399999999897</v>
      </c>
      <c r="K6" s="3">
        <v>1159</v>
      </c>
      <c r="L6" s="9" t="s">
        <v>208</v>
      </c>
      <c r="M6" s="12" t="s">
        <v>209</v>
      </c>
      <c r="N6" s="11" t="s">
        <v>13</v>
      </c>
    </row>
    <row r="7" spans="1:14" ht="14.25" x14ac:dyDescent="0.2">
      <c r="A7" s="3">
        <v>5</v>
      </c>
      <c r="B7" s="4" t="s">
        <v>16</v>
      </c>
      <c r="C7" s="4" t="s">
        <v>210</v>
      </c>
      <c r="D7" s="4" t="s">
        <v>17</v>
      </c>
      <c r="E7" s="7">
        <v>73.439639404233006</v>
      </c>
      <c r="F7" s="7">
        <v>173.324666840867</v>
      </c>
      <c r="G7" s="7">
        <v>58.693232296838197</v>
      </c>
      <c r="H7" s="8">
        <v>-16.560400000000001</v>
      </c>
      <c r="I7" s="8">
        <v>47.3247</v>
      </c>
      <c r="J7" s="8">
        <v>-13.306800000000001</v>
      </c>
      <c r="K7" s="3">
        <v>292</v>
      </c>
      <c r="L7" s="9" t="s">
        <v>211</v>
      </c>
      <c r="M7" s="10"/>
      <c r="N7" s="11" t="s">
        <v>13</v>
      </c>
    </row>
    <row r="8" spans="1:14" ht="14.25" x14ac:dyDescent="0.2">
      <c r="A8" s="3">
        <v>6</v>
      </c>
      <c r="B8" s="4" t="s">
        <v>18</v>
      </c>
      <c r="C8" s="4" t="s">
        <v>210</v>
      </c>
      <c r="D8" s="4" t="s">
        <v>19</v>
      </c>
      <c r="E8" s="7">
        <v>108.494719429952</v>
      </c>
      <c r="F8" s="7">
        <v>174.09797684183701</v>
      </c>
      <c r="G8" s="7">
        <v>57.979895661025502</v>
      </c>
      <c r="H8" s="8">
        <v>18.494699999999899</v>
      </c>
      <c r="I8" s="8">
        <v>48.097999999999999</v>
      </c>
      <c r="J8" s="8">
        <v>-14.0200999999999</v>
      </c>
      <c r="K8" s="3">
        <v>311</v>
      </c>
      <c r="L8" s="9" t="s">
        <v>211</v>
      </c>
      <c r="M8" s="10"/>
      <c r="N8" s="11" t="s">
        <v>13</v>
      </c>
    </row>
    <row r="9" spans="1:14" x14ac:dyDescent="0.2">
      <c r="A9" s="3">
        <v>7</v>
      </c>
      <c r="B9" s="4" t="s">
        <v>20</v>
      </c>
      <c r="C9" s="4" t="s">
        <v>212</v>
      </c>
      <c r="D9" s="4" t="s">
        <v>21</v>
      </c>
      <c r="E9" s="7">
        <v>56.568204121687899</v>
      </c>
      <c r="F9" s="7">
        <v>158.731832033469</v>
      </c>
      <c r="G9" s="7">
        <v>107.455580806776</v>
      </c>
      <c r="H9" s="8">
        <v>-33.431800000000003</v>
      </c>
      <c r="I9" s="8">
        <v>32.7317999999999</v>
      </c>
      <c r="J9" s="8">
        <v>35.455599999999997</v>
      </c>
      <c r="K9" s="3">
        <v>1448</v>
      </c>
      <c r="L9" s="9" t="s">
        <v>208</v>
      </c>
      <c r="M9" s="12" t="s">
        <v>209</v>
      </c>
      <c r="N9" s="11" t="s">
        <v>13</v>
      </c>
    </row>
    <row r="10" spans="1:14" x14ac:dyDescent="0.2">
      <c r="A10" s="3">
        <v>8</v>
      </c>
      <c r="B10" s="4" t="s">
        <v>22</v>
      </c>
      <c r="C10" s="4" t="s">
        <v>212</v>
      </c>
      <c r="D10" s="4" t="s">
        <v>23</v>
      </c>
      <c r="E10" s="7">
        <v>127.59483826224699</v>
      </c>
      <c r="F10" s="7">
        <v>159.06192103829099</v>
      </c>
      <c r="G10" s="7">
        <v>106.035096844503</v>
      </c>
      <c r="H10" s="8">
        <v>37.594799999999999</v>
      </c>
      <c r="I10" s="8">
        <v>33.061900000000001</v>
      </c>
      <c r="J10" s="8">
        <v>34.0350999999999</v>
      </c>
      <c r="K10" s="3">
        <v>1510</v>
      </c>
      <c r="L10" s="9" t="s">
        <v>208</v>
      </c>
      <c r="M10" s="12" t="s">
        <v>209</v>
      </c>
      <c r="N10" s="11" t="s">
        <v>13</v>
      </c>
    </row>
    <row r="11" spans="1:14" ht="14.25" x14ac:dyDescent="0.2">
      <c r="A11" s="3">
        <v>9</v>
      </c>
      <c r="B11" s="4" t="s">
        <v>24</v>
      </c>
      <c r="C11" s="4" t="s">
        <v>213</v>
      </c>
      <c r="D11" s="4" t="s">
        <v>25</v>
      </c>
      <c r="E11" s="7">
        <v>59.354330708661401</v>
      </c>
      <c r="F11" s="7">
        <v>176.42969628796399</v>
      </c>
      <c r="G11" s="7">
        <v>62.381046119235002</v>
      </c>
      <c r="H11" s="8">
        <v>-30.645699999999898</v>
      </c>
      <c r="I11" s="8">
        <v>50.429699999999897</v>
      </c>
      <c r="J11" s="8">
        <v>-9.6189999999999891</v>
      </c>
      <c r="K11" s="3">
        <v>270</v>
      </c>
      <c r="L11" s="9" t="s">
        <v>211</v>
      </c>
      <c r="M11" s="10"/>
      <c r="N11" s="11" t="s">
        <v>13</v>
      </c>
    </row>
    <row r="12" spans="1:14" ht="14.25" x14ac:dyDescent="0.2">
      <c r="A12" s="3">
        <v>10</v>
      </c>
      <c r="B12" s="4" t="s">
        <v>26</v>
      </c>
      <c r="C12" s="4" t="s">
        <v>213</v>
      </c>
      <c r="D12" s="4" t="s">
        <v>27</v>
      </c>
      <c r="E12" s="7">
        <v>123.181705349385</v>
      </c>
      <c r="F12" s="7">
        <v>178.58793595631099</v>
      </c>
      <c r="G12" s="7">
        <v>61.268834553804098</v>
      </c>
      <c r="H12" s="8">
        <v>33.181699999999999</v>
      </c>
      <c r="I12" s="8">
        <v>52.587899999999898</v>
      </c>
      <c r="J12" s="8">
        <v>-10.731199999999999</v>
      </c>
      <c r="K12" s="3">
        <v>294</v>
      </c>
      <c r="L12" s="9" t="s">
        <v>211</v>
      </c>
      <c r="M12" s="10"/>
      <c r="N12" s="11" t="s">
        <v>13</v>
      </c>
    </row>
    <row r="13" spans="1:14" ht="14.25" x14ac:dyDescent="0.2">
      <c r="A13" s="3">
        <v>11</v>
      </c>
      <c r="B13" s="4" t="s">
        <v>28</v>
      </c>
      <c r="C13" s="4" t="s">
        <v>214</v>
      </c>
      <c r="D13" s="4" t="s">
        <v>29</v>
      </c>
      <c r="E13" s="7">
        <v>41.566195139644499</v>
      </c>
      <c r="F13" s="7">
        <v>138.73328497158701</v>
      </c>
      <c r="G13" s="7">
        <v>91.022488211824395</v>
      </c>
      <c r="H13" s="8">
        <v>-48.433799999999898</v>
      </c>
      <c r="I13" s="8">
        <v>12.7333</v>
      </c>
      <c r="J13" s="8">
        <v>19.022499999999901</v>
      </c>
      <c r="K13" s="3">
        <v>326</v>
      </c>
      <c r="L13" s="9" t="s">
        <v>208</v>
      </c>
      <c r="M13" s="10"/>
      <c r="N13" s="11" t="s">
        <v>13</v>
      </c>
    </row>
    <row r="14" spans="1:14" ht="14.25" x14ac:dyDescent="0.2">
      <c r="A14" s="3">
        <v>12</v>
      </c>
      <c r="B14" s="4" t="s">
        <v>30</v>
      </c>
      <c r="C14" s="4" t="s">
        <v>214</v>
      </c>
      <c r="D14" s="4" t="s">
        <v>31</v>
      </c>
      <c r="E14" s="7">
        <v>140.20395561123999</v>
      </c>
      <c r="F14" s="7">
        <v>140.97646321818499</v>
      </c>
      <c r="G14" s="7">
        <v>93.411759441560704</v>
      </c>
      <c r="H14" s="8">
        <v>50.204000000000001</v>
      </c>
      <c r="I14" s="8">
        <v>14.9764999999999</v>
      </c>
      <c r="J14" s="8">
        <v>21.4117999999999</v>
      </c>
      <c r="K14" s="3">
        <v>421</v>
      </c>
      <c r="L14" s="9" t="s">
        <v>208</v>
      </c>
      <c r="M14" s="10"/>
      <c r="N14" s="11" t="s">
        <v>13</v>
      </c>
    </row>
    <row r="15" spans="1:14" x14ac:dyDescent="0.2">
      <c r="A15" s="3">
        <v>13</v>
      </c>
      <c r="B15" s="4" t="s">
        <v>32</v>
      </c>
      <c r="C15" s="4" t="s">
        <v>215</v>
      </c>
      <c r="D15" s="4" t="s">
        <v>33</v>
      </c>
      <c r="E15" s="7">
        <v>44.416832471150002</v>
      </c>
      <c r="F15" s="7">
        <v>155.913997214484</v>
      </c>
      <c r="G15" s="7">
        <v>85.990399920413793</v>
      </c>
      <c r="H15" s="8">
        <v>-45.583199999999898</v>
      </c>
      <c r="I15" s="8">
        <v>29.913999999999898</v>
      </c>
      <c r="J15" s="8">
        <v>13.9903999999999</v>
      </c>
      <c r="K15" s="3">
        <v>726</v>
      </c>
      <c r="L15" s="9" t="s">
        <v>208</v>
      </c>
      <c r="M15" s="12" t="s">
        <v>209</v>
      </c>
      <c r="N15" s="11" t="s">
        <v>13</v>
      </c>
    </row>
    <row r="16" spans="1:14" x14ac:dyDescent="0.2">
      <c r="A16" s="3">
        <v>14</v>
      </c>
      <c r="B16" s="4" t="s">
        <v>34</v>
      </c>
      <c r="C16" s="4" t="s">
        <v>215</v>
      </c>
      <c r="D16" s="4" t="s">
        <v>35</v>
      </c>
      <c r="E16" s="7">
        <v>140.32973383142601</v>
      </c>
      <c r="F16" s="7">
        <v>156.16180247490001</v>
      </c>
      <c r="G16" s="7">
        <v>86.173359794536495</v>
      </c>
      <c r="H16" s="8">
        <v>50.329700000000003</v>
      </c>
      <c r="I16" s="8">
        <v>30.1617999999999</v>
      </c>
      <c r="J16" s="8">
        <v>14.173400000000001</v>
      </c>
      <c r="K16" s="3">
        <v>629</v>
      </c>
      <c r="L16" s="9" t="s">
        <v>208</v>
      </c>
      <c r="M16" s="12" t="s">
        <v>209</v>
      </c>
      <c r="N16" s="11" t="s">
        <v>13</v>
      </c>
    </row>
    <row r="17" spans="1:14" ht="14.25" x14ac:dyDescent="0.2">
      <c r="A17" s="3">
        <v>15</v>
      </c>
      <c r="B17" s="4" t="s">
        <v>36</v>
      </c>
      <c r="C17" s="4" t="s">
        <v>216</v>
      </c>
      <c r="D17" s="4" t="s">
        <v>37</v>
      </c>
      <c r="E17" s="7">
        <v>54.015158204562098</v>
      </c>
      <c r="F17" s="7">
        <v>156.70743193524601</v>
      </c>
      <c r="G17" s="7">
        <v>59.890213392200103</v>
      </c>
      <c r="H17" s="8">
        <v>-35.9847999999999</v>
      </c>
      <c r="I17" s="8">
        <v>30.7074</v>
      </c>
      <c r="J17" s="8">
        <v>-12.1097999999999</v>
      </c>
      <c r="K17" s="3">
        <v>503</v>
      </c>
      <c r="L17" s="9" t="s">
        <v>211</v>
      </c>
      <c r="M17" s="10"/>
      <c r="N17" s="11" t="s">
        <v>13</v>
      </c>
    </row>
    <row r="18" spans="1:14" ht="14.25" x14ac:dyDescent="0.2">
      <c r="A18" s="3">
        <v>16</v>
      </c>
      <c r="B18" s="4" t="s">
        <v>38</v>
      </c>
      <c r="C18" s="4" t="s">
        <v>216</v>
      </c>
      <c r="D18" s="4" t="s">
        <v>39</v>
      </c>
      <c r="E18" s="7">
        <v>131.22441259911199</v>
      </c>
      <c r="F18" s="7">
        <v>158.230304793773</v>
      </c>
      <c r="G18" s="7">
        <v>60.089037608205402</v>
      </c>
      <c r="H18" s="8">
        <v>41.224400000000003</v>
      </c>
      <c r="I18" s="8">
        <v>32.2302999999999</v>
      </c>
      <c r="J18" s="8">
        <v>-11.911</v>
      </c>
      <c r="K18" s="3">
        <v>505</v>
      </c>
      <c r="L18" s="9" t="s">
        <v>211</v>
      </c>
      <c r="M18" s="10"/>
      <c r="N18" s="11" t="s">
        <v>13</v>
      </c>
    </row>
    <row r="19" spans="1:14" ht="14.25" x14ac:dyDescent="0.2">
      <c r="A19" s="3">
        <v>17</v>
      </c>
      <c r="B19" s="4" t="s">
        <v>40</v>
      </c>
      <c r="C19" s="4" t="s">
        <v>217</v>
      </c>
      <c r="D19" s="4" t="s">
        <v>41</v>
      </c>
      <c r="E19" s="7">
        <v>42.841541755888599</v>
      </c>
      <c r="F19" s="7">
        <v>117.524499307217</v>
      </c>
      <c r="G19" s="7">
        <v>85.950749464667993</v>
      </c>
      <c r="H19" s="8">
        <v>-47.158499999999897</v>
      </c>
      <c r="I19" s="8">
        <v>-8.4754999999999896</v>
      </c>
      <c r="J19" s="8">
        <v>13.9506999999999</v>
      </c>
      <c r="K19" s="3">
        <v>302</v>
      </c>
      <c r="L19" s="9" t="s">
        <v>208</v>
      </c>
      <c r="M19" s="10"/>
      <c r="N19" s="11" t="s">
        <v>8</v>
      </c>
    </row>
    <row r="20" spans="1:14" ht="14.25" x14ac:dyDescent="0.2">
      <c r="A20" s="3">
        <v>18</v>
      </c>
      <c r="B20" s="4" t="s">
        <v>42</v>
      </c>
      <c r="C20" s="4" t="s">
        <v>217</v>
      </c>
      <c r="D20" s="4" t="s">
        <v>43</v>
      </c>
      <c r="E20" s="7">
        <v>142.64679027298899</v>
      </c>
      <c r="F20" s="7">
        <v>119.74778719836</v>
      </c>
      <c r="G20" s="7">
        <v>86.634678095593003</v>
      </c>
      <c r="H20" s="8">
        <v>52.646799999999999</v>
      </c>
      <c r="I20" s="8">
        <v>-6.2522000000000002</v>
      </c>
      <c r="J20" s="8">
        <v>14.634699999999899</v>
      </c>
      <c r="K20" s="3">
        <v>399</v>
      </c>
      <c r="L20" s="9" t="s">
        <v>208</v>
      </c>
      <c r="M20" s="10"/>
      <c r="N20" s="11" t="s">
        <v>8</v>
      </c>
    </row>
    <row r="21" spans="1:14" x14ac:dyDescent="0.2">
      <c r="A21" s="3">
        <v>19</v>
      </c>
      <c r="B21" s="4" t="s">
        <v>44</v>
      </c>
      <c r="C21" s="4" t="s">
        <v>218</v>
      </c>
      <c r="D21" s="4" t="s">
        <v>45</v>
      </c>
      <c r="E21" s="7">
        <v>84.675963430158504</v>
      </c>
      <c r="F21" s="7">
        <v>130.848455039925</v>
      </c>
      <c r="G21" s="7">
        <v>133.37547737530301</v>
      </c>
      <c r="H21" s="8">
        <v>-5.3239999999999901</v>
      </c>
      <c r="I21" s="8">
        <v>4.8484999999999996</v>
      </c>
      <c r="J21" s="8">
        <v>61.375499999999903</v>
      </c>
      <c r="K21" s="3">
        <v>656</v>
      </c>
      <c r="L21" s="9" t="s">
        <v>208</v>
      </c>
      <c r="M21" s="12" t="s">
        <v>219</v>
      </c>
      <c r="N21" s="11" t="s">
        <v>8</v>
      </c>
    </row>
    <row r="22" spans="1:14" x14ac:dyDescent="0.2">
      <c r="A22" s="3">
        <v>20</v>
      </c>
      <c r="B22" s="4" t="s">
        <v>46</v>
      </c>
      <c r="C22" s="4" t="s">
        <v>218</v>
      </c>
      <c r="D22" s="4" t="s">
        <v>47</v>
      </c>
      <c r="E22" s="7">
        <v>98.615779719353895</v>
      </c>
      <c r="F22" s="7">
        <v>126.17140587768</v>
      </c>
      <c r="G22" s="7">
        <v>133.85379931162299</v>
      </c>
      <c r="H22" s="8">
        <v>8.6157999999999895</v>
      </c>
      <c r="I22" s="8">
        <v>0.17140000000000499</v>
      </c>
      <c r="J22" s="8">
        <v>61.8538</v>
      </c>
      <c r="K22" s="3">
        <v>666</v>
      </c>
      <c r="L22" s="9" t="s">
        <v>208</v>
      </c>
      <c r="M22" s="12" t="s">
        <v>219</v>
      </c>
      <c r="N22" s="11" t="s">
        <v>8</v>
      </c>
    </row>
    <row r="23" spans="1:14" ht="14.25" x14ac:dyDescent="0.2">
      <c r="A23" s="3">
        <v>21</v>
      </c>
      <c r="B23" s="4" t="s">
        <v>48</v>
      </c>
      <c r="C23" s="4" t="s">
        <v>220</v>
      </c>
      <c r="D23" s="4" t="s">
        <v>49</v>
      </c>
      <c r="E23" s="7">
        <v>81.937223695844295</v>
      </c>
      <c r="F23" s="7">
        <v>141.053050397878</v>
      </c>
      <c r="G23" s="7">
        <v>60.544650751547302</v>
      </c>
      <c r="H23" s="8">
        <v>-8.0627999999999904</v>
      </c>
      <c r="I23" s="8">
        <v>15.053100000000001</v>
      </c>
      <c r="J23" s="8">
        <v>-11.455299999999999</v>
      </c>
      <c r="K23" s="3">
        <v>87</v>
      </c>
      <c r="L23" s="9" t="s">
        <v>221</v>
      </c>
      <c r="M23" s="10"/>
      <c r="N23" s="11" t="s">
        <v>13</v>
      </c>
    </row>
    <row r="24" spans="1:14" ht="14.25" x14ac:dyDescent="0.2">
      <c r="A24" s="3">
        <v>22</v>
      </c>
      <c r="B24" s="4" t="s">
        <v>50</v>
      </c>
      <c r="C24" s="4" t="s">
        <v>220</v>
      </c>
      <c r="D24" s="4" t="s">
        <v>51</v>
      </c>
      <c r="E24" s="7">
        <v>100.426946631671</v>
      </c>
      <c r="F24" s="7">
        <v>141.91207349081299</v>
      </c>
      <c r="G24" s="7">
        <v>60.7436570428696</v>
      </c>
      <c r="H24" s="8">
        <v>10.4269</v>
      </c>
      <c r="I24" s="8">
        <v>15.912100000000001</v>
      </c>
      <c r="J24" s="8">
        <v>-11.2563</v>
      </c>
      <c r="K24" s="3">
        <v>81</v>
      </c>
      <c r="L24" s="9" t="s">
        <v>221</v>
      </c>
      <c r="M24" s="10"/>
      <c r="N24" s="11" t="s">
        <v>13</v>
      </c>
    </row>
    <row r="25" spans="1:14" ht="14.25" x14ac:dyDescent="0.2">
      <c r="A25" s="3">
        <v>23</v>
      </c>
      <c r="B25" s="4" t="s">
        <v>52</v>
      </c>
      <c r="C25" s="4" t="s">
        <v>222</v>
      </c>
      <c r="D25" s="4" t="s">
        <v>53</v>
      </c>
      <c r="E25" s="7">
        <v>85.200570182793896</v>
      </c>
      <c r="F25" s="7">
        <v>175.168665101459</v>
      </c>
      <c r="G25" s="7">
        <v>102.89367767902</v>
      </c>
      <c r="H25" s="8">
        <v>-4.7994000000000003</v>
      </c>
      <c r="I25" s="8">
        <v>49.168700000000001</v>
      </c>
      <c r="J25" s="8">
        <v>30.8936999999999</v>
      </c>
      <c r="K25" s="3">
        <v>846</v>
      </c>
      <c r="L25" s="9" t="s">
        <v>208</v>
      </c>
      <c r="M25" s="10"/>
      <c r="N25" s="11" t="s">
        <v>13</v>
      </c>
    </row>
    <row r="26" spans="1:14" ht="14.25" x14ac:dyDescent="0.2">
      <c r="A26" s="3">
        <v>24</v>
      </c>
      <c r="B26" s="4" t="s">
        <v>54</v>
      </c>
      <c r="C26" s="4" t="s">
        <v>222</v>
      </c>
      <c r="D26" s="4" t="s">
        <v>55</v>
      </c>
      <c r="E26" s="7">
        <v>99.099358030508199</v>
      </c>
      <c r="F26" s="7">
        <v>176.840626656457</v>
      </c>
      <c r="G26" s="7">
        <v>102.219329760292</v>
      </c>
      <c r="H26" s="8">
        <v>9.0993999999999993</v>
      </c>
      <c r="I26" s="8">
        <v>50.840599999999903</v>
      </c>
      <c r="J26" s="8">
        <v>30.2193</v>
      </c>
      <c r="K26" s="3">
        <v>641</v>
      </c>
      <c r="L26" s="9" t="s">
        <v>208</v>
      </c>
      <c r="M26" s="10"/>
      <c r="N26" s="11" t="s">
        <v>13</v>
      </c>
    </row>
    <row r="27" spans="1:14" ht="14.25" x14ac:dyDescent="0.2">
      <c r="A27" s="3">
        <v>25</v>
      </c>
      <c r="B27" s="4" t="s">
        <v>24</v>
      </c>
      <c r="C27" s="4" t="s">
        <v>223</v>
      </c>
      <c r="D27" s="4" t="s">
        <v>57</v>
      </c>
      <c r="E27" s="7">
        <v>84.825966850828706</v>
      </c>
      <c r="F27" s="7">
        <v>180.05714779005501</v>
      </c>
      <c r="G27" s="7">
        <v>64.603245856353595</v>
      </c>
      <c r="H27" s="8">
        <v>-5.1740000000000004</v>
      </c>
      <c r="I27" s="8">
        <v>54.057099999999899</v>
      </c>
      <c r="J27" s="8">
        <v>-7.39679999999999</v>
      </c>
      <c r="K27" s="3">
        <v>225</v>
      </c>
      <c r="L27" s="9" t="s">
        <v>211</v>
      </c>
      <c r="M27" s="10"/>
      <c r="N27" s="11" t="s">
        <v>13</v>
      </c>
    </row>
    <row r="28" spans="1:14" ht="14.25" x14ac:dyDescent="0.2">
      <c r="A28" s="3">
        <v>26</v>
      </c>
      <c r="B28" s="4" t="s">
        <v>26</v>
      </c>
      <c r="C28" s="4" t="s">
        <v>223</v>
      </c>
      <c r="D28" s="4" t="s">
        <v>59</v>
      </c>
      <c r="E28" s="7">
        <v>98.161135371179</v>
      </c>
      <c r="F28" s="7">
        <v>177.67103347889301</v>
      </c>
      <c r="G28" s="7">
        <v>64.865938864628802</v>
      </c>
      <c r="H28" s="8">
        <v>8.1610999999999994</v>
      </c>
      <c r="I28" s="8">
        <v>51.6709999999999</v>
      </c>
      <c r="J28" s="8">
        <v>-7.1341000000000001</v>
      </c>
      <c r="K28" s="3">
        <v>262</v>
      </c>
      <c r="L28" s="9" t="s">
        <v>211</v>
      </c>
      <c r="M28" s="10"/>
      <c r="N28" s="11" t="s">
        <v>13</v>
      </c>
    </row>
    <row r="29" spans="1:14" ht="14.25" x14ac:dyDescent="0.2">
      <c r="A29" s="3">
        <v>27</v>
      </c>
      <c r="B29" s="4" t="s">
        <v>60</v>
      </c>
      <c r="C29" s="4" t="s">
        <v>224</v>
      </c>
      <c r="D29" s="4" t="s">
        <v>61</v>
      </c>
      <c r="E29" s="7">
        <v>84.9181235431235</v>
      </c>
      <c r="F29" s="7">
        <v>163.07240675990599</v>
      </c>
      <c r="G29" s="7">
        <v>53.863782051282001</v>
      </c>
      <c r="H29" s="8">
        <v>-5.0819000000000001</v>
      </c>
      <c r="I29" s="8">
        <v>37.072399999999902</v>
      </c>
      <c r="J29" s="8">
        <v>-18.136199999999999</v>
      </c>
      <c r="K29" s="3">
        <v>261</v>
      </c>
      <c r="L29" s="9" t="s">
        <v>211</v>
      </c>
      <c r="M29" s="10"/>
      <c r="N29" s="11" t="s">
        <v>13</v>
      </c>
    </row>
    <row r="30" spans="1:14" ht="14.25" x14ac:dyDescent="0.2">
      <c r="A30" s="3">
        <v>28</v>
      </c>
      <c r="B30" s="4" t="s">
        <v>62</v>
      </c>
      <c r="C30" s="4" t="s">
        <v>224</v>
      </c>
      <c r="D30" s="4" t="s">
        <v>63</v>
      </c>
      <c r="E30" s="7">
        <v>98.353288364249494</v>
      </c>
      <c r="F30" s="7">
        <v>161.64468802698099</v>
      </c>
      <c r="G30" s="7">
        <v>53.955986509274801</v>
      </c>
      <c r="H30" s="8">
        <v>8.3533000000000008</v>
      </c>
      <c r="I30" s="8">
        <v>35.6447</v>
      </c>
      <c r="J30" s="8">
        <v>-18.043999999999901</v>
      </c>
      <c r="K30" s="3">
        <v>218</v>
      </c>
      <c r="L30" s="9" t="s">
        <v>211</v>
      </c>
      <c r="M30" s="10"/>
      <c r="N30" s="11" t="s">
        <v>13</v>
      </c>
    </row>
    <row r="31" spans="1:14" ht="14.25" x14ac:dyDescent="0.2">
      <c r="A31" s="3">
        <v>29</v>
      </c>
      <c r="B31" s="4" t="s">
        <v>64</v>
      </c>
      <c r="C31" s="4" t="s">
        <v>225</v>
      </c>
      <c r="D31" s="4" t="s">
        <v>65</v>
      </c>
      <c r="E31" s="7">
        <v>54.8690183028286</v>
      </c>
      <c r="F31" s="7">
        <v>132.65178036605599</v>
      </c>
      <c r="G31" s="7">
        <v>75.440931780366</v>
      </c>
      <c r="H31" s="8">
        <v>-35.131</v>
      </c>
      <c r="I31" s="8">
        <v>6.6517999999999997</v>
      </c>
      <c r="J31" s="8">
        <v>3.4408999999999899</v>
      </c>
      <c r="K31" s="3">
        <v>566</v>
      </c>
      <c r="L31" s="9" t="s">
        <v>211</v>
      </c>
      <c r="M31" s="10"/>
      <c r="N31" s="9" t="s">
        <v>66</v>
      </c>
    </row>
    <row r="32" spans="1:14" ht="14.25" x14ac:dyDescent="0.2">
      <c r="A32" s="3">
        <v>30</v>
      </c>
      <c r="B32" s="4" t="s">
        <v>67</v>
      </c>
      <c r="C32" s="4" t="s">
        <v>225</v>
      </c>
      <c r="D32" s="4" t="s">
        <v>68</v>
      </c>
      <c r="E32" s="7">
        <v>129.019110985277</v>
      </c>
      <c r="F32" s="7">
        <v>132.24511608154</v>
      </c>
      <c r="G32" s="7">
        <v>74.077505662514099</v>
      </c>
      <c r="H32" s="8">
        <v>39.019100000000002</v>
      </c>
      <c r="I32" s="8">
        <v>6.2450999999999999</v>
      </c>
      <c r="J32" s="8">
        <v>2.0775000000000001</v>
      </c>
      <c r="K32" s="3">
        <v>539</v>
      </c>
      <c r="L32" s="9" t="s">
        <v>211</v>
      </c>
      <c r="M32" s="10"/>
      <c r="N32" s="9" t="s">
        <v>66</v>
      </c>
    </row>
    <row r="33" spans="1:14" ht="14.25" x14ac:dyDescent="0.2">
      <c r="A33" s="3">
        <v>31</v>
      </c>
      <c r="B33" s="4" t="s">
        <v>69</v>
      </c>
      <c r="C33" s="4" t="s">
        <v>226</v>
      </c>
      <c r="D33" s="4" t="s">
        <v>70</v>
      </c>
      <c r="E33" s="7">
        <v>85.963415714412207</v>
      </c>
      <c r="F33" s="7">
        <v>161.39985826911101</v>
      </c>
      <c r="G33" s="7">
        <v>85.952874479581894</v>
      </c>
      <c r="H33" s="8">
        <v>-4.0366</v>
      </c>
      <c r="I33" s="8">
        <v>35.399900000000002</v>
      </c>
      <c r="J33" s="8">
        <v>13.9528999999999</v>
      </c>
      <c r="K33" s="3">
        <v>426</v>
      </c>
      <c r="L33" s="9" t="s">
        <v>211</v>
      </c>
      <c r="M33" s="10"/>
      <c r="N33" s="11" t="s">
        <v>13</v>
      </c>
    </row>
    <row r="34" spans="1:14" ht="14.25" x14ac:dyDescent="0.2">
      <c r="A34" s="3">
        <v>32</v>
      </c>
      <c r="B34" s="4" t="s">
        <v>71</v>
      </c>
      <c r="C34" s="4" t="s">
        <v>226</v>
      </c>
      <c r="D34" s="4" t="s">
        <v>72</v>
      </c>
      <c r="E34" s="7">
        <v>98.455659835280599</v>
      </c>
      <c r="F34" s="7">
        <v>163.005554491476</v>
      </c>
      <c r="G34" s="7">
        <v>87.839781651024694</v>
      </c>
      <c r="H34" s="8">
        <v>8.4556999999999896</v>
      </c>
      <c r="I34" s="8">
        <v>37.005599999999902</v>
      </c>
      <c r="J34" s="8">
        <v>15.839799999999901</v>
      </c>
      <c r="K34" s="3">
        <v>397</v>
      </c>
      <c r="L34" s="9" t="s">
        <v>211</v>
      </c>
      <c r="M34" s="10"/>
      <c r="N34" s="11" t="s">
        <v>13</v>
      </c>
    </row>
    <row r="35" spans="1:14" ht="14.25" x14ac:dyDescent="0.2">
      <c r="A35" s="3">
        <v>33</v>
      </c>
      <c r="B35" s="4" t="s">
        <v>73</v>
      </c>
      <c r="C35" s="4" t="s">
        <v>227</v>
      </c>
      <c r="D35" s="4" t="s">
        <v>74</v>
      </c>
      <c r="E35" s="7">
        <v>84.523594636410493</v>
      </c>
      <c r="F35" s="7">
        <v>111.080195977307</v>
      </c>
      <c r="G35" s="7">
        <v>113.56943011861701</v>
      </c>
      <c r="H35" s="8">
        <v>-5.4763999999999902</v>
      </c>
      <c r="I35" s="8">
        <v>-14.919799999999899</v>
      </c>
      <c r="J35" s="8">
        <v>41.569400000000002</v>
      </c>
      <c r="K35" s="3">
        <v>619</v>
      </c>
      <c r="L35" s="9" t="s">
        <v>211</v>
      </c>
      <c r="M35" s="10"/>
      <c r="N35" s="11" t="s">
        <v>8</v>
      </c>
    </row>
    <row r="36" spans="1:14" ht="14.25" x14ac:dyDescent="0.2">
      <c r="A36" s="3">
        <v>34</v>
      </c>
      <c r="B36" s="4" t="s">
        <v>75</v>
      </c>
      <c r="C36" s="4" t="s">
        <v>227</v>
      </c>
      <c r="D36" s="4" t="s">
        <v>76</v>
      </c>
      <c r="E36" s="7">
        <v>98.020353170507903</v>
      </c>
      <c r="F36" s="7">
        <v>117.173603944501</v>
      </c>
      <c r="G36" s="7">
        <v>111.791021671826</v>
      </c>
      <c r="H36" s="8">
        <v>8.0203999999999898</v>
      </c>
      <c r="I36" s="8">
        <v>-8.8263999999999996</v>
      </c>
      <c r="J36" s="8">
        <v>39.790999999999897</v>
      </c>
      <c r="K36" s="3">
        <v>605</v>
      </c>
      <c r="L36" s="9" t="s">
        <v>211</v>
      </c>
      <c r="M36" s="10"/>
      <c r="N36" s="11" t="s">
        <v>8</v>
      </c>
    </row>
    <row r="37" spans="1:14" ht="14.25" x14ac:dyDescent="0.2">
      <c r="A37" s="3">
        <v>35</v>
      </c>
      <c r="B37" s="4" t="s">
        <v>77</v>
      </c>
      <c r="C37" s="4" t="s">
        <v>228</v>
      </c>
      <c r="D37" s="4" t="s">
        <v>78</v>
      </c>
      <c r="E37" s="7">
        <v>85.152355316285295</v>
      </c>
      <c r="F37" s="7">
        <v>83.082099596231501</v>
      </c>
      <c r="G37" s="7">
        <v>96.669717362045702</v>
      </c>
      <c r="H37" s="8">
        <v>-4.8475999999999901</v>
      </c>
      <c r="I37" s="8">
        <v>-42.917900000000003</v>
      </c>
      <c r="J37" s="8">
        <v>24.669699999999999</v>
      </c>
      <c r="K37" s="3">
        <v>137</v>
      </c>
      <c r="L37" s="9" t="s">
        <v>211</v>
      </c>
      <c r="M37" s="10"/>
      <c r="N37" s="11" t="s">
        <v>79</v>
      </c>
    </row>
    <row r="38" spans="1:14" ht="14.25" x14ac:dyDescent="0.2">
      <c r="A38" s="3">
        <v>36</v>
      </c>
      <c r="B38" s="4" t="s">
        <v>80</v>
      </c>
      <c r="C38" s="4" t="s">
        <v>228</v>
      </c>
      <c r="D38" s="4" t="s">
        <v>81</v>
      </c>
      <c r="E38" s="7">
        <v>97.437452901281006</v>
      </c>
      <c r="F38" s="7">
        <v>84.185003767897499</v>
      </c>
      <c r="G38" s="7">
        <v>93.866616428033097</v>
      </c>
      <c r="H38" s="8">
        <v>7.4375</v>
      </c>
      <c r="I38" s="8">
        <v>-41.814999999999898</v>
      </c>
      <c r="J38" s="8">
        <v>21.866599999999998</v>
      </c>
      <c r="K38" s="3">
        <v>87</v>
      </c>
      <c r="L38" s="9" t="s">
        <v>211</v>
      </c>
      <c r="M38" s="10"/>
      <c r="N38" s="11" t="s">
        <v>79</v>
      </c>
    </row>
    <row r="39" spans="1:14" ht="14.25" x14ac:dyDescent="0.2">
      <c r="A39" s="3">
        <v>37</v>
      </c>
      <c r="B39" s="4" t="s">
        <v>82</v>
      </c>
      <c r="C39" s="4" t="s">
        <v>229</v>
      </c>
      <c r="D39" s="4" t="s">
        <v>83</v>
      </c>
      <c r="E39" s="7">
        <v>64.973222653635005</v>
      </c>
      <c r="F39" s="7">
        <v>105.258803052617</v>
      </c>
      <c r="G39" s="7">
        <v>61.866514928370599</v>
      </c>
      <c r="H39" s="8">
        <v>-25.026799999999898</v>
      </c>
      <c r="I39" s="8">
        <v>-20.741199999999999</v>
      </c>
      <c r="J39" s="8">
        <v>-10.1334999999999</v>
      </c>
      <c r="K39" s="3">
        <v>273</v>
      </c>
      <c r="L39" s="9" t="s">
        <v>221</v>
      </c>
      <c r="M39" s="10"/>
      <c r="N39" s="11" t="s">
        <v>84</v>
      </c>
    </row>
    <row r="40" spans="1:14" ht="14.25" x14ac:dyDescent="0.2">
      <c r="A40" s="3">
        <v>38</v>
      </c>
      <c r="B40" s="4" t="s">
        <v>85</v>
      </c>
      <c r="C40" s="4" t="s">
        <v>229</v>
      </c>
      <c r="D40" s="4" t="s">
        <v>86</v>
      </c>
      <c r="E40" s="7">
        <v>119.230738890349</v>
      </c>
      <c r="F40" s="7">
        <v>106.21680252432201</v>
      </c>
      <c r="G40" s="7">
        <v>61.668814094136202</v>
      </c>
      <c r="H40" s="8">
        <v>29.230699999999899</v>
      </c>
      <c r="I40" s="8">
        <v>-19.783199999999901</v>
      </c>
      <c r="J40" s="8">
        <v>-10.331200000000001</v>
      </c>
      <c r="K40" s="3">
        <v>288</v>
      </c>
      <c r="L40" s="9" t="s">
        <v>221</v>
      </c>
      <c r="M40" s="10"/>
      <c r="N40" s="11" t="s">
        <v>84</v>
      </c>
    </row>
    <row r="41" spans="1:14" ht="14.25" x14ac:dyDescent="0.2">
      <c r="A41" s="3">
        <v>39</v>
      </c>
      <c r="B41" s="4" t="s">
        <v>87</v>
      </c>
      <c r="C41" s="4" t="s">
        <v>230</v>
      </c>
      <c r="D41" s="4" t="s">
        <v>88</v>
      </c>
      <c r="E41" s="7">
        <v>68.828919021670202</v>
      </c>
      <c r="F41" s="7">
        <v>110.04967684704</v>
      </c>
      <c r="G41" s="7">
        <v>51.2956532758839</v>
      </c>
      <c r="H41" s="8">
        <v>-21.1710999999999</v>
      </c>
      <c r="I41" s="8">
        <v>-15.950299999999899</v>
      </c>
      <c r="J41" s="8">
        <v>-20.7043</v>
      </c>
      <c r="K41" s="3">
        <v>286</v>
      </c>
      <c r="L41" s="9" t="s">
        <v>211</v>
      </c>
      <c r="M41" s="10"/>
      <c r="N41" s="11" t="s">
        <v>84</v>
      </c>
    </row>
    <row r="42" spans="1:14" ht="14.25" x14ac:dyDescent="0.2">
      <c r="A42" s="3">
        <v>40</v>
      </c>
      <c r="B42" s="4" t="s">
        <v>89</v>
      </c>
      <c r="C42" s="4" t="s">
        <v>230</v>
      </c>
      <c r="D42" s="4" t="s">
        <v>90</v>
      </c>
      <c r="E42" s="7">
        <v>115.38181214000799</v>
      </c>
      <c r="F42" s="7">
        <v>110.85323438192199</v>
      </c>
      <c r="G42" s="7">
        <v>51.529796189632201</v>
      </c>
      <c r="H42" s="8">
        <v>25.381799999999899</v>
      </c>
      <c r="I42" s="8">
        <v>-15.146799999999899</v>
      </c>
      <c r="J42" s="8">
        <v>-20.470199999999899</v>
      </c>
      <c r="K42" s="3">
        <v>316</v>
      </c>
      <c r="L42" s="9" t="s">
        <v>211</v>
      </c>
      <c r="M42" s="10"/>
      <c r="N42" s="11" t="s">
        <v>84</v>
      </c>
    </row>
    <row r="43" spans="1:14" ht="14.25" x14ac:dyDescent="0.2">
      <c r="A43" s="3">
        <v>41</v>
      </c>
      <c r="B43" s="4" t="s">
        <v>91</v>
      </c>
      <c r="C43" s="4" t="s">
        <v>231</v>
      </c>
      <c r="D43" s="4" t="s">
        <v>92</v>
      </c>
      <c r="E43" s="7">
        <v>66.731102135025907</v>
      </c>
      <c r="F43" s="7">
        <v>125.33294864397</v>
      </c>
      <c r="G43" s="7">
        <v>54.858626658972803</v>
      </c>
      <c r="H43" s="8">
        <v>-23.268899999999999</v>
      </c>
      <c r="I43" s="8">
        <v>-0.66710000000000402</v>
      </c>
      <c r="J43" s="8">
        <v>-17.141399999999901</v>
      </c>
      <c r="K43" s="3">
        <v>62</v>
      </c>
      <c r="L43" s="9" t="s">
        <v>66</v>
      </c>
      <c r="M43" s="10"/>
      <c r="N43" s="11" t="s">
        <v>84</v>
      </c>
    </row>
    <row r="44" spans="1:14" ht="14.25" x14ac:dyDescent="0.2">
      <c r="A44" s="3">
        <v>42</v>
      </c>
      <c r="B44" s="4" t="s">
        <v>93</v>
      </c>
      <c r="C44" s="4" t="s">
        <v>231</v>
      </c>
      <c r="D44" s="4" t="s">
        <v>94</v>
      </c>
      <c r="E44" s="7">
        <v>117.319083969465</v>
      </c>
      <c r="F44" s="7">
        <v>126.63867684478301</v>
      </c>
      <c r="G44" s="7">
        <v>54.497201017811697</v>
      </c>
      <c r="H44" s="8">
        <v>27.319099999999999</v>
      </c>
      <c r="I44" s="8">
        <v>0.63870000000000005</v>
      </c>
      <c r="J44" s="8">
        <v>-17.502800000000001</v>
      </c>
      <c r="K44" s="3">
        <v>70</v>
      </c>
      <c r="L44" s="9" t="s">
        <v>66</v>
      </c>
      <c r="M44" s="10"/>
      <c r="N44" s="11" t="s">
        <v>84</v>
      </c>
    </row>
    <row r="45" spans="1:14" ht="14.25" x14ac:dyDescent="0.2">
      <c r="A45" s="3">
        <v>43</v>
      </c>
      <c r="B45" s="4" t="s">
        <v>95</v>
      </c>
      <c r="C45" s="4" t="s">
        <v>232</v>
      </c>
      <c r="D45" s="4" t="s">
        <v>96</v>
      </c>
      <c r="E45" s="7">
        <v>82.858346643167906</v>
      </c>
      <c r="F45" s="7">
        <v>47.333039599052697</v>
      </c>
      <c r="G45" s="7">
        <v>78.439224541499101</v>
      </c>
      <c r="H45" s="8">
        <v>-7.1417000000000002</v>
      </c>
      <c r="I45" s="8">
        <v>-78.667000000000002</v>
      </c>
      <c r="J45" s="8">
        <v>6.4391999999999898</v>
      </c>
      <c r="K45" s="3">
        <v>648</v>
      </c>
      <c r="L45" s="9" t="s">
        <v>206</v>
      </c>
      <c r="M45" s="10"/>
      <c r="N45" s="11" t="s">
        <v>97</v>
      </c>
    </row>
    <row r="46" spans="1:14" ht="14.25" x14ac:dyDescent="0.2">
      <c r="A46" s="3">
        <v>44</v>
      </c>
      <c r="B46" s="4" t="s">
        <v>98</v>
      </c>
      <c r="C46" s="4" t="s">
        <v>232</v>
      </c>
      <c r="D46" s="4" t="s">
        <v>99</v>
      </c>
      <c r="E46" s="7">
        <v>105.994222371514</v>
      </c>
      <c r="F46" s="7">
        <v>52.851662747732597</v>
      </c>
      <c r="G46" s="7">
        <v>81.404769902586494</v>
      </c>
      <c r="H46" s="8">
        <v>15.994199999999999</v>
      </c>
      <c r="I46" s="8">
        <v>-73.148300000000006</v>
      </c>
      <c r="J46" s="8">
        <v>9.4047999999999892</v>
      </c>
      <c r="K46" s="3">
        <v>542</v>
      </c>
      <c r="L46" s="9" t="s">
        <v>206</v>
      </c>
      <c r="M46" s="10"/>
      <c r="N46" s="11" t="s">
        <v>97</v>
      </c>
    </row>
    <row r="47" spans="1:14" ht="14.25" x14ac:dyDescent="0.2">
      <c r="A47" s="3">
        <v>45</v>
      </c>
      <c r="B47" s="4" t="s">
        <v>100</v>
      </c>
      <c r="C47" s="4" t="s">
        <v>233</v>
      </c>
      <c r="D47" s="4" t="s">
        <v>101</v>
      </c>
      <c r="E47" s="7">
        <v>84.0660182972059</v>
      </c>
      <c r="F47" s="7">
        <v>45.866397428500697</v>
      </c>
      <c r="G47" s="7">
        <v>99.223522624247906</v>
      </c>
      <c r="H47" s="8">
        <v>-5.9339999999999904</v>
      </c>
      <c r="I47" s="8">
        <v>-80.133600000000001</v>
      </c>
      <c r="J47" s="8">
        <v>27.223500000000001</v>
      </c>
      <c r="K47" s="3">
        <v>449</v>
      </c>
      <c r="L47" s="9" t="s">
        <v>208</v>
      </c>
      <c r="M47" s="10"/>
      <c r="N47" s="11" t="s">
        <v>97</v>
      </c>
    </row>
    <row r="48" spans="1:14" ht="14.25" x14ac:dyDescent="0.2">
      <c r="A48" s="3">
        <v>46</v>
      </c>
      <c r="B48" s="4" t="s">
        <v>102</v>
      </c>
      <c r="C48" s="4" t="s">
        <v>233</v>
      </c>
      <c r="D48" s="4" t="s">
        <v>103</v>
      </c>
      <c r="E48" s="7">
        <v>103.510995319261</v>
      </c>
      <c r="F48" s="7">
        <v>46.641791044776099</v>
      </c>
      <c r="G48" s="7">
        <v>100.2283847037</v>
      </c>
      <c r="H48" s="8">
        <v>13.5109999999999</v>
      </c>
      <c r="I48" s="8">
        <v>-79.358199999999897</v>
      </c>
      <c r="J48" s="8">
        <v>28.228399999999901</v>
      </c>
      <c r="K48" s="3">
        <v>434</v>
      </c>
      <c r="L48" s="9" t="s">
        <v>208</v>
      </c>
      <c r="M48" s="10"/>
      <c r="N48" s="11" t="s">
        <v>97</v>
      </c>
    </row>
    <row r="49" spans="1:14" x14ac:dyDescent="0.2">
      <c r="A49" s="3">
        <v>47</v>
      </c>
      <c r="B49" s="4" t="s">
        <v>104</v>
      </c>
      <c r="C49" s="4" t="s">
        <v>234</v>
      </c>
      <c r="D49" s="4" t="s">
        <v>105</v>
      </c>
      <c r="E49" s="7">
        <v>75.383061658398304</v>
      </c>
      <c r="F49" s="7">
        <v>58.445015355539802</v>
      </c>
      <c r="G49" s="7">
        <v>67.367115520907106</v>
      </c>
      <c r="H49" s="8">
        <v>-14.616899999999999</v>
      </c>
      <c r="I49" s="8">
        <v>-67.555000000000007</v>
      </c>
      <c r="J49" s="8">
        <v>-4.6329000000000002</v>
      </c>
      <c r="K49" s="3">
        <v>660</v>
      </c>
      <c r="L49" s="9" t="s">
        <v>208</v>
      </c>
      <c r="M49" s="12" t="s">
        <v>219</v>
      </c>
      <c r="N49" s="11" t="s">
        <v>97</v>
      </c>
    </row>
    <row r="50" spans="1:14" x14ac:dyDescent="0.2">
      <c r="A50" s="3">
        <v>48</v>
      </c>
      <c r="B50" s="4" t="s">
        <v>106</v>
      </c>
      <c r="C50" s="4" t="s">
        <v>234</v>
      </c>
      <c r="D50" s="4" t="s">
        <v>107</v>
      </c>
      <c r="E50" s="7">
        <v>106.28986449864399</v>
      </c>
      <c r="F50" s="7">
        <v>59.074146341463397</v>
      </c>
      <c r="G50" s="7">
        <v>68.125257452574502</v>
      </c>
      <c r="H50" s="8">
        <v>16.289899999999999</v>
      </c>
      <c r="I50" s="8">
        <v>-66.925899999999899</v>
      </c>
      <c r="J50" s="8">
        <v>-3.8746999999999998</v>
      </c>
      <c r="K50" s="3">
        <v>678</v>
      </c>
      <c r="L50" s="9" t="s">
        <v>208</v>
      </c>
      <c r="M50" s="12" t="s">
        <v>219</v>
      </c>
      <c r="N50" s="11" t="s">
        <v>97</v>
      </c>
    </row>
    <row r="51" spans="1:14" ht="14.25" x14ac:dyDescent="0.2">
      <c r="A51" s="3">
        <v>49</v>
      </c>
      <c r="B51" s="4" t="s">
        <v>108</v>
      </c>
      <c r="C51" s="4" t="s">
        <v>235</v>
      </c>
      <c r="D51" s="4" t="s">
        <v>109</v>
      </c>
      <c r="E51" s="7">
        <v>73.459271615234897</v>
      </c>
      <c r="F51" s="7">
        <v>41.737744416643501</v>
      </c>
      <c r="G51" s="7">
        <v>100.165322954313</v>
      </c>
      <c r="H51" s="8">
        <v>-16.540700000000001</v>
      </c>
      <c r="I51" s="8">
        <v>-84.262299999999996</v>
      </c>
      <c r="J51" s="8">
        <v>28.165299999999998</v>
      </c>
      <c r="K51" s="3">
        <v>396</v>
      </c>
      <c r="L51" s="9" t="s">
        <v>208</v>
      </c>
      <c r="M51" s="10"/>
      <c r="N51" s="11" t="s">
        <v>97</v>
      </c>
    </row>
    <row r="52" spans="1:14" ht="14.25" x14ac:dyDescent="0.2">
      <c r="A52" s="3">
        <v>50</v>
      </c>
      <c r="B52" s="4" t="s">
        <v>110</v>
      </c>
      <c r="C52" s="4" t="s">
        <v>235</v>
      </c>
      <c r="D52" s="4" t="s">
        <v>111</v>
      </c>
      <c r="E52" s="7">
        <v>114.29150596466</v>
      </c>
      <c r="F52" s="7">
        <v>45.146111758902101</v>
      </c>
      <c r="G52" s="7">
        <v>102.586958471611</v>
      </c>
      <c r="H52" s="8">
        <v>24.2914999999999</v>
      </c>
      <c r="I52" s="8">
        <v>-80.853899999999996</v>
      </c>
      <c r="J52" s="8">
        <v>30.587</v>
      </c>
      <c r="K52" s="3">
        <v>428</v>
      </c>
      <c r="L52" s="9" t="s">
        <v>208</v>
      </c>
      <c r="M52" s="10"/>
      <c r="N52" s="11" t="s">
        <v>97</v>
      </c>
    </row>
    <row r="53" spans="1:14" x14ac:dyDescent="0.2">
      <c r="A53" s="3">
        <v>51</v>
      </c>
      <c r="B53" s="4" t="s">
        <v>112</v>
      </c>
      <c r="C53" s="4" t="s">
        <v>236</v>
      </c>
      <c r="D53" s="4" t="s">
        <v>113</v>
      </c>
      <c r="E53" s="7">
        <v>57.611489476316898</v>
      </c>
      <c r="F53" s="7">
        <v>45.268382777328803</v>
      </c>
      <c r="G53" s="7">
        <v>88.114779329716399</v>
      </c>
      <c r="H53" s="8">
        <v>-32.388500000000001</v>
      </c>
      <c r="I53" s="8">
        <v>-80.7316</v>
      </c>
      <c r="J53" s="8">
        <v>16.114799999999999</v>
      </c>
      <c r="K53" s="3">
        <v>959</v>
      </c>
      <c r="L53" s="9" t="s">
        <v>208</v>
      </c>
      <c r="M53" s="12" t="s">
        <v>219</v>
      </c>
      <c r="N53" s="11" t="s">
        <v>97</v>
      </c>
    </row>
    <row r="54" spans="1:14" x14ac:dyDescent="0.2">
      <c r="A54" s="3">
        <v>52</v>
      </c>
      <c r="B54" s="4" t="s">
        <v>114</v>
      </c>
      <c r="C54" s="4" t="s">
        <v>236</v>
      </c>
      <c r="D54" s="4" t="s">
        <v>115</v>
      </c>
      <c r="E54" s="7">
        <v>127.38765746124</v>
      </c>
      <c r="F54" s="7">
        <v>46.295360949612402</v>
      </c>
      <c r="G54" s="7">
        <v>91.415758236434101</v>
      </c>
      <c r="H54" s="8">
        <v>37.387699999999903</v>
      </c>
      <c r="I54" s="8">
        <v>-79.7045999999999</v>
      </c>
      <c r="J54" s="8">
        <v>19.415800000000001</v>
      </c>
      <c r="K54" s="3">
        <v>595</v>
      </c>
      <c r="L54" s="9" t="s">
        <v>208</v>
      </c>
      <c r="M54" s="12" t="s">
        <v>219</v>
      </c>
      <c r="N54" s="11" t="s">
        <v>97</v>
      </c>
    </row>
    <row r="55" spans="1:14" x14ac:dyDescent="0.2">
      <c r="A55" s="3">
        <v>53</v>
      </c>
      <c r="B55" s="4" t="s">
        <v>116</v>
      </c>
      <c r="C55" s="4" t="s">
        <v>237</v>
      </c>
      <c r="D55" s="4" t="s">
        <v>117</v>
      </c>
      <c r="E55" s="7">
        <v>53.641321656050899</v>
      </c>
      <c r="F55" s="7">
        <v>47.707006369426701</v>
      </c>
      <c r="G55" s="7">
        <v>64.155652866241994</v>
      </c>
      <c r="H55" s="8">
        <v>-36.358699999999899</v>
      </c>
      <c r="I55" s="8">
        <v>-78.293000000000006</v>
      </c>
      <c r="J55" s="8">
        <v>-7.8442999999999996</v>
      </c>
      <c r="K55" s="3">
        <v>268</v>
      </c>
      <c r="L55" s="9" t="s">
        <v>208</v>
      </c>
      <c r="M55" s="12" t="s">
        <v>219</v>
      </c>
      <c r="N55" s="11" t="s">
        <v>97</v>
      </c>
    </row>
    <row r="56" spans="1:14" x14ac:dyDescent="0.2">
      <c r="A56" s="3">
        <v>54</v>
      </c>
      <c r="B56" s="4" t="s">
        <v>118</v>
      </c>
      <c r="C56" s="4" t="s">
        <v>237</v>
      </c>
      <c r="D56" s="4" t="s">
        <v>119</v>
      </c>
      <c r="E56" s="7">
        <v>128.15865809055299</v>
      </c>
      <c r="F56" s="7">
        <v>44.006936561987601</v>
      </c>
      <c r="G56" s="7">
        <v>64.386807920292597</v>
      </c>
      <c r="H56" s="8">
        <v>38.158700000000003</v>
      </c>
      <c r="I56" s="8">
        <v>-81.993099999999899</v>
      </c>
      <c r="J56" s="8">
        <v>-7.6132</v>
      </c>
      <c r="K56" s="3">
        <v>314</v>
      </c>
      <c r="L56" s="9" t="s">
        <v>208</v>
      </c>
      <c r="M56" s="12" t="s">
        <v>219</v>
      </c>
      <c r="N56" s="11" t="s">
        <v>97</v>
      </c>
    </row>
    <row r="57" spans="1:14" x14ac:dyDescent="0.2">
      <c r="A57" s="3">
        <v>55</v>
      </c>
      <c r="B57" s="4" t="s">
        <v>120</v>
      </c>
      <c r="C57" s="4" t="s">
        <v>238</v>
      </c>
      <c r="D57" s="4" t="s">
        <v>121</v>
      </c>
      <c r="E57" s="7">
        <v>58.840724376806797</v>
      </c>
      <c r="F57" s="7">
        <v>85.702230949653597</v>
      </c>
      <c r="G57" s="7">
        <v>51.771777668684798</v>
      </c>
      <c r="H57" s="8">
        <v>-31.159300000000002</v>
      </c>
      <c r="I57" s="8">
        <v>-40.297799999999903</v>
      </c>
      <c r="J57" s="8">
        <v>-20.228200000000001</v>
      </c>
      <c r="K57" s="3">
        <v>687</v>
      </c>
      <c r="L57" s="9" t="s">
        <v>208</v>
      </c>
      <c r="M57" s="12" t="s">
        <v>219</v>
      </c>
      <c r="N57" s="11" t="s">
        <v>84</v>
      </c>
    </row>
    <row r="58" spans="1:14" x14ac:dyDescent="0.2">
      <c r="A58" s="3">
        <v>56</v>
      </c>
      <c r="B58" s="4" t="s">
        <v>122</v>
      </c>
      <c r="C58" s="4" t="s">
        <v>238</v>
      </c>
      <c r="D58" s="4" t="s">
        <v>123</v>
      </c>
      <c r="E58" s="7">
        <v>123.96806249073001</v>
      </c>
      <c r="F58" s="7">
        <v>86.898254807929902</v>
      </c>
      <c r="G58" s="7">
        <v>51.821575122361203</v>
      </c>
      <c r="H58" s="8">
        <v>33.9681</v>
      </c>
      <c r="I58" s="8">
        <v>-39.101699999999902</v>
      </c>
      <c r="J58" s="8">
        <v>-20.1784</v>
      </c>
      <c r="K58" s="3">
        <v>760</v>
      </c>
      <c r="L58" s="9" t="s">
        <v>208</v>
      </c>
      <c r="M58" s="12" t="s">
        <v>219</v>
      </c>
      <c r="N58" s="11" t="s">
        <v>84</v>
      </c>
    </row>
    <row r="59" spans="1:14" ht="14.25" x14ac:dyDescent="0.2">
      <c r="A59" s="3">
        <v>57</v>
      </c>
      <c r="B59" s="4" t="s">
        <v>124</v>
      </c>
      <c r="C59" s="4" t="s">
        <v>239</v>
      </c>
      <c r="D59" s="4" t="s">
        <v>125</v>
      </c>
      <c r="E59" s="7">
        <v>47.537629214568597</v>
      </c>
      <c r="F59" s="7">
        <v>103.368660032847</v>
      </c>
      <c r="G59" s="7">
        <v>120.917238270054</v>
      </c>
      <c r="H59" s="8">
        <v>-42.462400000000002</v>
      </c>
      <c r="I59" s="8">
        <v>-22.6312999999999</v>
      </c>
      <c r="J59" s="8">
        <v>48.917199999999902</v>
      </c>
      <c r="K59" s="3">
        <v>1159</v>
      </c>
      <c r="L59" s="9" t="s">
        <v>206</v>
      </c>
      <c r="M59" s="10"/>
      <c r="N59" s="11" t="s">
        <v>79</v>
      </c>
    </row>
    <row r="60" spans="1:14" ht="14.25" x14ac:dyDescent="0.2">
      <c r="A60" s="3">
        <v>58</v>
      </c>
      <c r="B60" s="4" t="s">
        <v>126</v>
      </c>
      <c r="C60" s="4" t="s">
        <v>239</v>
      </c>
      <c r="D60" s="4" t="s">
        <v>127</v>
      </c>
      <c r="E60" s="7">
        <v>131.42835704032299</v>
      </c>
      <c r="F60" s="7">
        <v>100.506948975597</v>
      </c>
      <c r="G60" s="7">
        <v>124.54495628343901</v>
      </c>
      <c r="H60" s="8">
        <v>41.428400000000003</v>
      </c>
      <c r="I60" s="8">
        <v>-25.493099999999899</v>
      </c>
      <c r="J60" s="8">
        <v>52.545000000000002</v>
      </c>
      <c r="K60" s="3">
        <v>1138</v>
      </c>
      <c r="L60" s="9" t="s">
        <v>206</v>
      </c>
      <c r="M60" s="10"/>
      <c r="N60" s="11" t="s">
        <v>79</v>
      </c>
    </row>
    <row r="61" spans="1:14" x14ac:dyDescent="0.2">
      <c r="A61" s="3">
        <v>59</v>
      </c>
      <c r="B61" s="4" t="s">
        <v>128</v>
      </c>
      <c r="C61" s="4" t="s">
        <v>240</v>
      </c>
      <c r="D61" s="4" t="s">
        <v>129</v>
      </c>
      <c r="E61" s="7">
        <v>66.546401113868797</v>
      </c>
      <c r="F61" s="7">
        <v>66.442762879108898</v>
      </c>
      <c r="G61" s="7">
        <v>130.96010654397901</v>
      </c>
      <c r="H61" s="8">
        <v>-23.453599999999899</v>
      </c>
      <c r="I61" s="8">
        <v>-59.557199999999902</v>
      </c>
      <c r="J61" s="8">
        <v>58.960099999999997</v>
      </c>
      <c r="K61" s="3">
        <v>631</v>
      </c>
      <c r="L61" s="9" t="s">
        <v>208</v>
      </c>
      <c r="M61" s="12" t="s">
        <v>209</v>
      </c>
      <c r="N61" s="11" t="s">
        <v>79</v>
      </c>
    </row>
    <row r="62" spans="1:14" x14ac:dyDescent="0.2">
      <c r="A62" s="3">
        <v>60</v>
      </c>
      <c r="B62" s="4" t="s">
        <v>130</v>
      </c>
      <c r="C62" s="4" t="s">
        <v>240</v>
      </c>
      <c r="D62" s="4" t="s">
        <v>131</v>
      </c>
      <c r="E62" s="7">
        <v>116.105844821693</v>
      </c>
      <c r="F62" s="7">
        <v>66.820154950438607</v>
      </c>
      <c r="G62" s="7">
        <v>134.06175230716599</v>
      </c>
      <c r="H62" s="8">
        <v>26.105799999999999</v>
      </c>
      <c r="I62" s="8">
        <v>-59.1798</v>
      </c>
      <c r="J62" s="8">
        <v>62.061799999999998</v>
      </c>
      <c r="K62" s="3">
        <v>647</v>
      </c>
      <c r="L62" s="9" t="s">
        <v>208</v>
      </c>
      <c r="M62" s="12" t="s">
        <v>209</v>
      </c>
      <c r="N62" s="11" t="s">
        <v>79</v>
      </c>
    </row>
    <row r="63" spans="1:14" x14ac:dyDescent="0.2">
      <c r="A63" s="3">
        <v>61</v>
      </c>
      <c r="B63" s="4" t="s">
        <v>132</v>
      </c>
      <c r="C63" s="4" t="s">
        <v>241</v>
      </c>
      <c r="D63" s="4" t="s">
        <v>133</v>
      </c>
      <c r="E63" s="7">
        <v>47.196277060729102</v>
      </c>
      <c r="F63" s="7">
        <v>80.180336298657807</v>
      </c>
      <c r="G63" s="7">
        <v>118.74052553093</v>
      </c>
      <c r="H63" s="8">
        <v>-42.8036999999999</v>
      </c>
      <c r="I63" s="8">
        <v>-45.819699999999898</v>
      </c>
      <c r="J63" s="8">
        <v>46.740499999999898</v>
      </c>
      <c r="K63" s="3">
        <v>696</v>
      </c>
      <c r="L63" s="9" t="s">
        <v>208</v>
      </c>
      <c r="M63" s="12" t="s">
        <v>209</v>
      </c>
      <c r="N63" s="11" t="s">
        <v>79</v>
      </c>
    </row>
    <row r="64" spans="1:14" x14ac:dyDescent="0.2">
      <c r="A64" s="3">
        <v>62</v>
      </c>
      <c r="B64" s="4" t="s">
        <v>134</v>
      </c>
      <c r="C64" s="4" t="s">
        <v>241</v>
      </c>
      <c r="D64" s="4" t="s">
        <v>135</v>
      </c>
      <c r="E64" s="7">
        <v>136.46204589798299</v>
      </c>
      <c r="F64" s="7">
        <v>79.710303818637897</v>
      </c>
      <c r="G64" s="7">
        <v>121.535073864164</v>
      </c>
      <c r="H64" s="8">
        <v>46.461999999999897</v>
      </c>
      <c r="I64" s="8">
        <v>-46.289699999999897</v>
      </c>
      <c r="J64" s="8">
        <v>49.5350999999999</v>
      </c>
      <c r="K64" s="3">
        <v>419</v>
      </c>
      <c r="L64" s="9" t="s">
        <v>208</v>
      </c>
      <c r="M64" s="12" t="s">
        <v>209</v>
      </c>
      <c r="N64" s="11" t="s">
        <v>79</v>
      </c>
    </row>
    <row r="65" spans="1:14" x14ac:dyDescent="0.2">
      <c r="A65" s="3">
        <v>63</v>
      </c>
      <c r="B65" s="4" t="s">
        <v>136</v>
      </c>
      <c r="C65" s="4" t="s">
        <v>242</v>
      </c>
      <c r="D65" s="4" t="s">
        <v>137</v>
      </c>
      <c r="E65" s="7">
        <v>34.211870394670399</v>
      </c>
      <c r="F65" s="7">
        <v>92.362168163924494</v>
      </c>
      <c r="G65" s="7">
        <v>102.449480165539</v>
      </c>
      <c r="H65" s="8">
        <v>-55.7881</v>
      </c>
      <c r="I65" s="8">
        <v>-33.637799999999899</v>
      </c>
      <c r="J65" s="8">
        <v>30.4495</v>
      </c>
      <c r="K65" s="3">
        <v>354</v>
      </c>
      <c r="L65" s="9" t="s">
        <v>208</v>
      </c>
      <c r="M65" s="12" t="s">
        <v>209</v>
      </c>
      <c r="N65" s="11" t="s">
        <v>79</v>
      </c>
    </row>
    <row r="66" spans="1:14" x14ac:dyDescent="0.2">
      <c r="A66" s="3">
        <v>64</v>
      </c>
      <c r="B66" s="4" t="s">
        <v>138</v>
      </c>
      <c r="C66" s="4" t="s">
        <v>242</v>
      </c>
      <c r="D66" s="4" t="s">
        <v>139</v>
      </c>
      <c r="E66" s="7">
        <v>147.61071655041201</v>
      </c>
      <c r="F66" s="7">
        <v>94.495117311350597</v>
      </c>
      <c r="G66" s="7">
        <v>106.479961953075</v>
      </c>
      <c r="H66" s="8">
        <v>57.610700000000001</v>
      </c>
      <c r="I66" s="8">
        <v>-31.504899999999999</v>
      </c>
      <c r="J66" s="8">
        <v>34.479999999999997</v>
      </c>
      <c r="K66" s="3">
        <v>550</v>
      </c>
      <c r="L66" s="9" t="s">
        <v>208</v>
      </c>
      <c r="M66" s="12" t="s">
        <v>209</v>
      </c>
      <c r="N66" s="11" t="s">
        <v>79</v>
      </c>
    </row>
    <row r="67" spans="1:14" x14ac:dyDescent="0.2">
      <c r="A67" s="3">
        <v>65</v>
      </c>
      <c r="B67" s="4" t="s">
        <v>140</v>
      </c>
      <c r="C67" s="4" t="s">
        <v>243</v>
      </c>
      <c r="D67" s="4" t="s">
        <v>141</v>
      </c>
      <c r="E67" s="7">
        <v>45.858692150757001</v>
      </c>
      <c r="F67" s="7">
        <v>65.184151186513404</v>
      </c>
      <c r="G67" s="7">
        <v>107.587243637925</v>
      </c>
      <c r="H67" s="8">
        <v>-44.141300000000001</v>
      </c>
      <c r="I67" s="8">
        <v>-60.815799999999903</v>
      </c>
      <c r="J67" s="8">
        <v>35.587199999999903</v>
      </c>
      <c r="K67" s="3">
        <v>342</v>
      </c>
      <c r="L67" s="9" t="s">
        <v>208</v>
      </c>
      <c r="M67" s="12" t="s">
        <v>209</v>
      </c>
      <c r="N67" s="11" t="s">
        <v>79</v>
      </c>
    </row>
    <row r="68" spans="1:14" x14ac:dyDescent="0.2">
      <c r="A68" s="3">
        <v>66</v>
      </c>
      <c r="B68" s="4" t="s">
        <v>142</v>
      </c>
      <c r="C68" s="4" t="s">
        <v>243</v>
      </c>
      <c r="D68" s="4" t="s">
        <v>143</v>
      </c>
      <c r="E68" s="7">
        <v>135.507673638375</v>
      </c>
      <c r="F68" s="7">
        <v>66.015347276750603</v>
      </c>
      <c r="G68" s="7">
        <v>110.62766792776</v>
      </c>
      <c r="H68" s="8">
        <v>45.5076999999999</v>
      </c>
      <c r="I68" s="8">
        <v>-59.984699999999997</v>
      </c>
      <c r="J68" s="8">
        <v>38.627699999999997</v>
      </c>
      <c r="K68" s="3">
        <v>496</v>
      </c>
      <c r="L68" s="9" t="s">
        <v>208</v>
      </c>
      <c r="M68" s="12" t="s">
        <v>209</v>
      </c>
      <c r="N68" s="11" t="s">
        <v>79</v>
      </c>
    </row>
    <row r="69" spans="1:14" x14ac:dyDescent="0.2">
      <c r="A69" s="3">
        <v>67</v>
      </c>
      <c r="B69" s="4" t="s">
        <v>144</v>
      </c>
      <c r="C69" s="4" t="s">
        <v>244</v>
      </c>
      <c r="D69" s="4" t="s">
        <v>145</v>
      </c>
      <c r="E69" s="7">
        <v>82.759150856901002</v>
      </c>
      <c r="F69" s="7">
        <v>69.929085266944</v>
      </c>
      <c r="G69" s="7">
        <v>120.009027434939</v>
      </c>
      <c r="H69" s="8">
        <v>-7.2407999999999904</v>
      </c>
      <c r="I69" s="8">
        <v>-56.070899999999902</v>
      </c>
      <c r="J69" s="8">
        <v>48.009</v>
      </c>
      <c r="K69" s="3">
        <v>1079</v>
      </c>
      <c r="L69" s="9" t="s">
        <v>208</v>
      </c>
      <c r="M69" s="12" t="s">
        <v>209</v>
      </c>
      <c r="N69" s="11" t="s">
        <v>79</v>
      </c>
    </row>
    <row r="70" spans="1:14" x14ac:dyDescent="0.2">
      <c r="A70" s="3">
        <v>68</v>
      </c>
      <c r="B70" s="4" t="s">
        <v>146</v>
      </c>
      <c r="C70" s="4" t="s">
        <v>244</v>
      </c>
      <c r="D70" s="4" t="s">
        <v>147</v>
      </c>
      <c r="E70" s="7">
        <v>99.979603573208607</v>
      </c>
      <c r="F70" s="7">
        <v>69.950504159797504</v>
      </c>
      <c r="G70" s="7">
        <v>115.769428363301</v>
      </c>
      <c r="H70" s="8">
        <v>9.9795999999999996</v>
      </c>
      <c r="I70" s="8">
        <v>-56.049499999999902</v>
      </c>
      <c r="J70" s="8">
        <v>43.769399999999997</v>
      </c>
      <c r="K70" s="3">
        <v>935</v>
      </c>
      <c r="L70" s="9" t="s">
        <v>208</v>
      </c>
      <c r="M70" s="12" t="s">
        <v>209</v>
      </c>
      <c r="N70" s="11" t="s">
        <v>79</v>
      </c>
    </row>
    <row r="71" spans="1:14" ht="14.25" x14ac:dyDescent="0.2">
      <c r="A71" s="3">
        <v>69</v>
      </c>
      <c r="B71" s="4" t="s">
        <v>148</v>
      </c>
      <c r="C71" s="4" t="s">
        <v>245</v>
      </c>
      <c r="D71" s="4" t="s">
        <v>149</v>
      </c>
      <c r="E71" s="7">
        <v>82.369850360243802</v>
      </c>
      <c r="F71" s="7">
        <v>100.635414742287</v>
      </c>
      <c r="G71" s="7">
        <v>142.07029373729901</v>
      </c>
      <c r="H71" s="8">
        <v>-7.6300999999999899</v>
      </c>
      <c r="I71" s="8">
        <v>-25.3645999999999</v>
      </c>
      <c r="J71" s="8">
        <v>70.070300000000003</v>
      </c>
      <c r="K71" s="3">
        <v>422</v>
      </c>
      <c r="L71" s="9" t="s">
        <v>208</v>
      </c>
      <c r="M71" s="10"/>
      <c r="N71" s="11" t="s">
        <v>79</v>
      </c>
    </row>
    <row r="72" spans="1:14" ht="14.25" x14ac:dyDescent="0.2">
      <c r="A72" s="3">
        <v>70</v>
      </c>
      <c r="B72" s="4" t="s">
        <v>150</v>
      </c>
      <c r="C72" s="4" t="s">
        <v>245</v>
      </c>
      <c r="D72" s="4" t="s">
        <v>151</v>
      </c>
      <c r="E72" s="7">
        <v>97.477065590915799</v>
      </c>
      <c r="F72" s="7">
        <v>94.412968773345199</v>
      </c>
      <c r="G72" s="7">
        <v>140.09412819363499</v>
      </c>
      <c r="H72" s="8">
        <v>7.4770999999999903</v>
      </c>
      <c r="I72" s="8">
        <v>-31.587</v>
      </c>
      <c r="J72" s="8">
        <v>68.094099999999898</v>
      </c>
      <c r="K72" s="3">
        <v>227</v>
      </c>
      <c r="L72" s="9" t="s">
        <v>208</v>
      </c>
      <c r="M72" s="10"/>
      <c r="N72" s="11" t="s">
        <v>79</v>
      </c>
    </row>
    <row r="73" spans="1:14" ht="14.25" x14ac:dyDescent="0.2">
      <c r="A73" s="3">
        <v>71</v>
      </c>
      <c r="B73" s="4" t="s">
        <v>152</v>
      </c>
      <c r="C73" s="4" t="s">
        <v>246</v>
      </c>
      <c r="D73" s="4" t="s">
        <v>153</v>
      </c>
      <c r="E73" s="7">
        <v>78.538141109086098</v>
      </c>
      <c r="F73" s="7">
        <v>136.995964592554</v>
      </c>
      <c r="G73" s="7">
        <v>81.239130434782595</v>
      </c>
      <c r="H73" s="8">
        <v>-11.461899999999901</v>
      </c>
      <c r="I73" s="8">
        <v>10.996</v>
      </c>
      <c r="J73" s="8">
        <v>9.2390999999999899</v>
      </c>
      <c r="K73" s="3">
        <v>278</v>
      </c>
      <c r="L73" s="9" t="s">
        <v>66</v>
      </c>
      <c r="M73" s="10"/>
      <c r="N73" s="9" t="s">
        <v>66</v>
      </c>
    </row>
    <row r="74" spans="1:14" ht="14.25" x14ac:dyDescent="0.2">
      <c r="A74" s="3">
        <v>72</v>
      </c>
      <c r="B74" s="4" t="s">
        <v>154</v>
      </c>
      <c r="C74" s="4" t="s">
        <v>246</v>
      </c>
      <c r="D74" s="4" t="s">
        <v>155</v>
      </c>
      <c r="E74" s="7">
        <v>104.836166729631</v>
      </c>
      <c r="F74" s="7">
        <v>138.074297947361</v>
      </c>
      <c r="G74" s="7">
        <v>81.415187004155598</v>
      </c>
      <c r="H74" s="8">
        <v>14.8362</v>
      </c>
      <c r="I74" s="8">
        <v>12.0742999999999</v>
      </c>
      <c r="J74" s="8">
        <v>9.4151999999999898</v>
      </c>
      <c r="K74" s="3">
        <v>284</v>
      </c>
      <c r="L74" s="9" t="s">
        <v>66</v>
      </c>
      <c r="M74" s="10"/>
      <c r="N74" s="9" t="s">
        <v>66</v>
      </c>
    </row>
    <row r="75" spans="1:14" ht="14.25" x14ac:dyDescent="0.2">
      <c r="A75" s="3">
        <v>73</v>
      </c>
      <c r="B75" s="4" t="s">
        <v>156</v>
      </c>
      <c r="C75" s="4" t="s">
        <v>247</v>
      </c>
      <c r="D75" s="4" t="s">
        <v>157</v>
      </c>
      <c r="E75" s="7">
        <v>66.086250314782106</v>
      </c>
      <c r="F75" s="7">
        <v>129.85532611432799</v>
      </c>
      <c r="G75" s="7">
        <v>74.401284311256603</v>
      </c>
      <c r="H75" s="8">
        <v>-23.913699999999999</v>
      </c>
      <c r="I75" s="8">
        <v>3.85529999999999</v>
      </c>
      <c r="J75" s="8">
        <v>2.4013</v>
      </c>
      <c r="K75" s="3">
        <v>306</v>
      </c>
      <c r="L75" s="9" t="s">
        <v>66</v>
      </c>
      <c r="M75" s="10"/>
      <c r="N75" s="9" t="s">
        <v>66</v>
      </c>
    </row>
    <row r="76" spans="1:14" ht="14.25" x14ac:dyDescent="0.2">
      <c r="A76" s="3">
        <v>74</v>
      </c>
      <c r="B76" s="4" t="s">
        <v>158</v>
      </c>
      <c r="C76" s="4" t="s">
        <v>247</v>
      </c>
      <c r="D76" s="4" t="s">
        <v>159</v>
      </c>
      <c r="E76" s="7">
        <v>117.778730904817</v>
      </c>
      <c r="F76" s="7">
        <v>130.912925969447</v>
      </c>
      <c r="G76" s="7">
        <v>74.464747356051703</v>
      </c>
      <c r="H76" s="8">
        <v>27.778700000000001</v>
      </c>
      <c r="I76" s="8">
        <v>4.9128999999999996</v>
      </c>
      <c r="J76" s="8">
        <v>2.4646999999999899</v>
      </c>
      <c r="K76" s="3">
        <v>322</v>
      </c>
      <c r="L76" s="9" t="s">
        <v>66</v>
      </c>
      <c r="M76" s="10"/>
      <c r="N76" s="9" t="s">
        <v>66</v>
      </c>
    </row>
    <row r="77" spans="1:14" ht="14.25" x14ac:dyDescent="0.2">
      <c r="A77" s="3">
        <v>75</v>
      </c>
      <c r="B77" s="4" t="s">
        <v>160</v>
      </c>
      <c r="C77" s="4" t="s">
        <v>248</v>
      </c>
      <c r="D77" s="4" t="s">
        <v>161</v>
      </c>
      <c r="E77" s="7">
        <v>72.250328227571103</v>
      </c>
      <c r="F77" s="7">
        <v>125.968490153172</v>
      </c>
      <c r="G77" s="7">
        <v>72.210503282275695</v>
      </c>
      <c r="H77" s="8">
        <v>-17.749700000000001</v>
      </c>
      <c r="I77" s="8">
        <v>-3.1499999999993998E-2</v>
      </c>
      <c r="J77" s="8">
        <v>0.210499999999996</v>
      </c>
      <c r="K77" s="3">
        <v>81</v>
      </c>
      <c r="L77" s="9" t="s">
        <v>66</v>
      </c>
      <c r="M77" s="10"/>
      <c r="N77" s="9" t="s">
        <v>66</v>
      </c>
    </row>
    <row r="78" spans="1:14" ht="14.25" x14ac:dyDescent="0.2">
      <c r="A78" s="3">
        <v>76</v>
      </c>
      <c r="B78" s="4" t="s">
        <v>162</v>
      </c>
      <c r="C78" s="4" t="s">
        <v>248</v>
      </c>
      <c r="D78" s="4" t="s">
        <v>163</v>
      </c>
      <c r="E78" s="7">
        <v>111.20063985374701</v>
      </c>
      <c r="F78" s="7">
        <v>126.17550274222999</v>
      </c>
      <c r="G78" s="7">
        <v>72.228062157221203</v>
      </c>
      <c r="H78" s="8">
        <v>21.200599999999898</v>
      </c>
      <c r="I78" s="8">
        <v>0.17549999999999899</v>
      </c>
      <c r="J78" s="8">
        <v>0.228099999999997</v>
      </c>
      <c r="K78" s="3">
        <v>76</v>
      </c>
      <c r="L78" s="9" t="s">
        <v>66</v>
      </c>
      <c r="M78" s="10"/>
      <c r="N78" s="9" t="s">
        <v>66</v>
      </c>
    </row>
    <row r="79" spans="1:14" ht="14.25" x14ac:dyDescent="0.2">
      <c r="A79" s="3">
        <v>77</v>
      </c>
      <c r="B79" s="4" t="s">
        <v>164</v>
      </c>
      <c r="C79" s="4" t="s">
        <v>249</v>
      </c>
      <c r="D79" s="4" t="s">
        <v>165</v>
      </c>
      <c r="E79" s="7">
        <v>79.151609195402301</v>
      </c>
      <c r="F79" s="7">
        <v>108.435517241379</v>
      </c>
      <c r="G79" s="7">
        <v>79.976091954022905</v>
      </c>
      <c r="H79" s="8">
        <v>-10.8483999999999</v>
      </c>
      <c r="I79" s="8">
        <v>-17.564499999999899</v>
      </c>
      <c r="J79" s="8">
        <v>7.9760999999999997</v>
      </c>
      <c r="K79" s="3">
        <v>313</v>
      </c>
      <c r="L79" s="9" t="s">
        <v>66</v>
      </c>
      <c r="M79" s="10"/>
      <c r="N79" s="9" t="s">
        <v>66</v>
      </c>
    </row>
    <row r="80" spans="1:14" ht="14.25" x14ac:dyDescent="0.2">
      <c r="A80" s="3">
        <v>78</v>
      </c>
      <c r="B80" s="4" t="s">
        <v>166</v>
      </c>
      <c r="C80" s="4" t="s">
        <v>249</v>
      </c>
      <c r="D80" s="4" t="s">
        <v>167</v>
      </c>
      <c r="E80" s="7">
        <v>102.997737825931</v>
      </c>
      <c r="F80" s="7">
        <v>108.44755328015199</v>
      </c>
      <c r="G80" s="7">
        <v>80.086796047148397</v>
      </c>
      <c r="H80" s="8">
        <v>12.997699999999901</v>
      </c>
      <c r="I80" s="8">
        <v>-17.552399999999999</v>
      </c>
      <c r="J80" s="8">
        <v>8.0867999999999896</v>
      </c>
      <c r="K80" s="3">
        <v>307</v>
      </c>
      <c r="L80" s="9" t="s">
        <v>66</v>
      </c>
      <c r="M80" s="10"/>
      <c r="N80" s="9" t="s">
        <v>66</v>
      </c>
    </row>
    <row r="81" spans="1:16" ht="14.25" x14ac:dyDescent="0.2">
      <c r="A81" s="3">
        <v>79</v>
      </c>
      <c r="B81" s="4" t="s">
        <v>168</v>
      </c>
      <c r="C81" s="4" t="s">
        <v>250</v>
      </c>
      <c r="D81" s="4" t="s">
        <v>169</v>
      </c>
      <c r="E81" s="7">
        <v>48.008314855875803</v>
      </c>
      <c r="F81" s="7">
        <v>107.124722838137</v>
      </c>
      <c r="G81" s="7">
        <v>81.978381374722801</v>
      </c>
      <c r="H81" s="8">
        <v>-41.991700000000002</v>
      </c>
      <c r="I81" s="8">
        <v>-18.8752999999999</v>
      </c>
      <c r="J81" s="8">
        <v>9.9783999999999899</v>
      </c>
      <c r="K81" s="3">
        <v>72</v>
      </c>
      <c r="L81" s="9" t="s">
        <v>206</v>
      </c>
      <c r="M81" s="10"/>
      <c r="N81" s="11" t="s">
        <v>84</v>
      </c>
    </row>
    <row r="82" spans="1:16" ht="14.25" x14ac:dyDescent="0.2">
      <c r="A82" s="3">
        <v>80</v>
      </c>
      <c r="B82" s="4" t="s">
        <v>170</v>
      </c>
      <c r="C82" s="4" t="s">
        <v>250</v>
      </c>
      <c r="D82" s="4" t="s">
        <v>171</v>
      </c>
      <c r="E82" s="7">
        <v>135.85692148760299</v>
      </c>
      <c r="F82" s="7">
        <v>108.853305785123</v>
      </c>
      <c r="G82" s="7">
        <v>82.4059917355371</v>
      </c>
      <c r="H82" s="8">
        <v>45.856899999999897</v>
      </c>
      <c r="I82" s="8">
        <v>-17.1466999999999</v>
      </c>
      <c r="J82" s="8">
        <v>10.406000000000001</v>
      </c>
      <c r="K82" s="3">
        <v>73</v>
      </c>
      <c r="L82" s="9" t="s">
        <v>206</v>
      </c>
      <c r="M82" s="10"/>
      <c r="N82" s="11" t="s">
        <v>84</v>
      </c>
    </row>
    <row r="83" spans="1:16" x14ac:dyDescent="0.2">
      <c r="A83" s="3">
        <v>81</v>
      </c>
      <c r="B83" s="4" t="s">
        <v>172</v>
      </c>
      <c r="C83" s="4" t="s">
        <v>251</v>
      </c>
      <c r="D83" s="4" t="s">
        <v>173</v>
      </c>
      <c r="E83" s="7">
        <v>36.8435024853881</v>
      </c>
      <c r="F83" s="7">
        <v>105.322444966406</v>
      </c>
      <c r="G83" s="7">
        <v>79.134811820614999</v>
      </c>
      <c r="H83" s="8">
        <v>-53.156500000000001</v>
      </c>
      <c r="I83" s="8">
        <v>-20.677599999999899</v>
      </c>
      <c r="J83" s="8">
        <v>7.1347999999999896</v>
      </c>
      <c r="K83" s="3">
        <v>672</v>
      </c>
      <c r="L83" s="9" t="s">
        <v>208</v>
      </c>
      <c r="M83" s="12" t="s">
        <v>209</v>
      </c>
      <c r="N83" s="11" t="s">
        <v>84</v>
      </c>
    </row>
    <row r="84" spans="1:16" x14ac:dyDescent="0.2">
      <c r="A84" s="3">
        <v>82</v>
      </c>
      <c r="B84" s="4" t="s">
        <v>174</v>
      </c>
      <c r="C84" s="4" t="s">
        <v>251</v>
      </c>
      <c r="D84" s="4" t="s">
        <v>175</v>
      </c>
      <c r="E84" s="7">
        <v>148.14597355293299</v>
      </c>
      <c r="F84" s="7">
        <v>104.219415630691</v>
      </c>
      <c r="G84" s="7">
        <v>78.801369863013704</v>
      </c>
      <c r="H84" s="8">
        <v>58.145999999999901</v>
      </c>
      <c r="I84" s="8">
        <v>-21.7806</v>
      </c>
      <c r="J84" s="8">
        <v>6.8014000000000001</v>
      </c>
      <c r="K84" s="3">
        <v>963</v>
      </c>
      <c r="L84" s="9" t="s">
        <v>208</v>
      </c>
      <c r="M84" s="12" t="s">
        <v>209</v>
      </c>
      <c r="N84" s="11" t="s">
        <v>84</v>
      </c>
    </row>
    <row r="85" spans="1:16" ht="14.25" x14ac:dyDescent="0.2">
      <c r="A85" s="3">
        <v>83</v>
      </c>
      <c r="B85" s="4" t="s">
        <v>176</v>
      </c>
      <c r="C85" s="4" t="s">
        <v>252</v>
      </c>
      <c r="D85" s="4" t="s">
        <v>177</v>
      </c>
      <c r="E85" s="7">
        <v>50.121431364880699</v>
      </c>
      <c r="F85" s="7">
        <v>141.14411419632299</v>
      </c>
      <c r="G85" s="7">
        <v>51.817266327727801</v>
      </c>
      <c r="H85" s="8">
        <v>-39.878599999999899</v>
      </c>
      <c r="I85" s="8">
        <v>15.1441</v>
      </c>
      <c r="J85" s="8">
        <v>-20.182699999999901</v>
      </c>
      <c r="K85" s="3">
        <v>382</v>
      </c>
      <c r="L85" s="9" t="s">
        <v>211</v>
      </c>
      <c r="M85" s="10"/>
      <c r="N85" s="11" t="s">
        <v>84</v>
      </c>
    </row>
    <row r="86" spans="1:16" ht="14.25" x14ac:dyDescent="0.2">
      <c r="A86" s="3">
        <v>84</v>
      </c>
      <c r="B86" s="4" t="s">
        <v>178</v>
      </c>
      <c r="C86" s="4" t="s">
        <v>252</v>
      </c>
      <c r="D86" s="4" t="s">
        <v>179</v>
      </c>
      <c r="E86" s="7">
        <v>138.246761779613</v>
      </c>
      <c r="F86" s="7">
        <v>140.74516613478499</v>
      </c>
      <c r="G86" s="7">
        <v>55.136756147925603</v>
      </c>
      <c r="H86" s="8">
        <v>48.2468</v>
      </c>
      <c r="I86" s="8">
        <v>14.745200000000001</v>
      </c>
      <c r="J86" s="8">
        <v>-16.8631999999999</v>
      </c>
      <c r="K86" s="3">
        <v>400</v>
      </c>
      <c r="L86" s="9" t="s">
        <v>211</v>
      </c>
      <c r="M86" s="10"/>
      <c r="N86" s="11" t="s">
        <v>84</v>
      </c>
    </row>
    <row r="87" spans="1:16" x14ac:dyDescent="0.2">
      <c r="A87" s="3">
        <v>85</v>
      </c>
      <c r="B87" s="4" t="s">
        <v>180</v>
      </c>
      <c r="C87" s="4" t="s">
        <v>253</v>
      </c>
      <c r="D87" s="4" t="s">
        <v>181</v>
      </c>
      <c r="E87" s="7">
        <v>34.476100932584501</v>
      </c>
      <c r="F87" s="7">
        <v>92.200188041572403</v>
      </c>
      <c r="G87" s="7">
        <v>69.799024216705206</v>
      </c>
      <c r="H87" s="8">
        <v>-55.523899999999898</v>
      </c>
      <c r="I87" s="8">
        <v>-33.799799999999998</v>
      </c>
      <c r="J87" s="8">
        <v>-2.2009999999999899</v>
      </c>
      <c r="K87" s="3">
        <v>1439</v>
      </c>
      <c r="L87" s="9" t="s">
        <v>208</v>
      </c>
      <c r="M87" s="12" t="s">
        <v>209</v>
      </c>
      <c r="N87" s="11" t="s">
        <v>84</v>
      </c>
    </row>
    <row r="88" spans="1:16" x14ac:dyDescent="0.2">
      <c r="A88" s="3">
        <v>86</v>
      </c>
      <c r="B88" s="4" t="s">
        <v>182</v>
      </c>
      <c r="C88" s="4" t="s">
        <v>253</v>
      </c>
      <c r="D88" s="4" t="s">
        <v>183</v>
      </c>
      <c r="E88" s="7">
        <v>147.47348100552301</v>
      </c>
      <c r="F88" s="7">
        <v>88.772009919963907</v>
      </c>
      <c r="G88" s="7">
        <v>70.531929883891294</v>
      </c>
      <c r="H88" s="8">
        <v>57.473500000000001</v>
      </c>
      <c r="I88" s="8">
        <v>-37.227999999999902</v>
      </c>
      <c r="J88" s="8">
        <v>-1.4681</v>
      </c>
      <c r="K88" s="3">
        <v>1356</v>
      </c>
      <c r="L88" s="9" t="s">
        <v>208</v>
      </c>
      <c r="M88" s="12" t="s">
        <v>209</v>
      </c>
      <c r="N88" s="11" t="s">
        <v>84</v>
      </c>
    </row>
    <row r="89" spans="1:16" ht="14.25" x14ac:dyDescent="0.2">
      <c r="A89" s="3">
        <v>87</v>
      </c>
      <c r="B89" s="4" t="s">
        <v>184</v>
      </c>
      <c r="C89" s="4" t="s">
        <v>254</v>
      </c>
      <c r="D89" s="4" t="s">
        <v>185</v>
      </c>
      <c r="E89" s="7">
        <v>53.680147058823501</v>
      </c>
      <c r="F89" s="7">
        <v>140.58689839572099</v>
      </c>
      <c r="G89" s="7">
        <v>37.919117647058798</v>
      </c>
      <c r="H89" s="8">
        <v>-36.319899999999897</v>
      </c>
      <c r="I89" s="8">
        <v>14.5869</v>
      </c>
      <c r="J89" s="8">
        <v>-34.0808999999999</v>
      </c>
      <c r="K89" s="3">
        <v>222</v>
      </c>
      <c r="L89" s="11" t="s">
        <v>211</v>
      </c>
      <c r="M89" s="10"/>
      <c r="N89" s="11" t="s">
        <v>84</v>
      </c>
    </row>
    <row r="90" spans="1:16" ht="14.25" x14ac:dyDescent="0.2">
      <c r="A90" s="3">
        <v>88</v>
      </c>
      <c r="B90" s="4" t="s">
        <v>186</v>
      </c>
      <c r="C90" s="4" t="s">
        <v>254</v>
      </c>
      <c r="D90" s="4" t="s">
        <v>187</v>
      </c>
      <c r="E90" s="7">
        <v>134.22038014783499</v>
      </c>
      <c r="F90" s="7">
        <v>140.551636747624</v>
      </c>
      <c r="G90" s="7">
        <v>39.766842661034801</v>
      </c>
      <c r="H90" s="8">
        <v>44.220399999999998</v>
      </c>
      <c r="I90" s="8">
        <v>14.551600000000001</v>
      </c>
      <c r="J90" s="8">
        <v>-32.233199999999897</v>
      </c>
      <c r="K90" s="3">
        <v>349</v>
      </c>
      <c r="L90" s="11" t="s">
        <v>211</v>
      </c>
      <c r="M90" s="10"/>
      <c r="N90" s="11" t="s">
        <v>84</v>
      </c>
    </row>
    <row r="91" spans="1:16" x14ac:dyDescent="0.2">
      <c r="A91" s="3">
        <v>89</v>
      </c>
      <c r="B91" s="4" t="s">
        <v>188</v>
      </c>
      <c r="C91" s="4" t="s">
        <v>255</v>
      </c>
      <c r="D91" s="4" t="s">
        <v>189</v>
      </c>
      <c r="E91" s="7">
        <v>40.229344562716797</v>
      </c>
      <c r="F91" s="7">
        <v>97.948376028385297</v>
      </c>
      <c r="G91" s="7">
        <v>48.831559246695498</v>
      </c>
      <c r="H91" s="8">
        <v>-49.770699999999898</v>
      </c>
      <c r="I91" s="8">
        <v>-28.051599999999901</v>
      </c>
      <c r="J91" s="8">
        <v>-23.168399999999899</v>
      </c>
      <c r="K91" s="3">
        <v>941</v>
      </c>
      <c r="L91" s="9" t="s">
        <v>208</v>
      </c>
      <c r="M91" s="12" t="s">
        <v>209</v>
      </c>
      <c r="N91" s="11" t="s">
        <v>84</v>
      </c>
    </row>
    <row r="92" spans="1:16" x14ac:dyDescent="0.2">
      <c r="A92" s="3">
        <v>90</v>
      </c>
      <c r="B92" s="4" t="s">
        <v>190</v>
      </c>
      <c r="C92" s="4" t="s">
        <v>255</v>
      </c>
      <c r="D92" s="4" t="s">
        <v>191</v>
      </c>
      <c r="E92" s="7">
        <v>143.69218069411201</v>
      </c>
      <c r="F92" s="7">
        <v>94.930764367008507</v>
      </c>
      <c r="G92" s="7">
        <v>49.681115638611701</v>
      </c>
      <c r="H92" s="8">
        <v>53.6922</v>
      </c>
      <c r="I92" s="8">
        <v>-31.069199999999899</v>
      </c>
      <c r="J92" s="8">
        <v>-22.3188999999999</v>
      </c>
      <c r="K92" s="3">
        <v>1072</v>
      </c>
      <c r="L92" s="9" t="s">
        <v>208</v>
      </c>
      <c r="M92" s="12" t="s">
        <v>209</v>
      </c>
      <c r="N92" s="11" t="s">
        <v>84</v>
      </c>
    </row>
    <row r="93" spans="1:16" x14ac:dyDescent="0.2">
      <c r="L93" s="24" t="s">
        <v>256</v>
      </c>
      <c r="M93" s="24"/>
      <c r="N93" s="13" t="s">
        <v>257</v>
      </c>
      <c r="O93" s="13"/>
      <c r="P93" s="14"/>
    </row>
    <row r="94" spans="1:16" x14ac:dyDescent="0.2">
      <c r="L94" s="24" t="s">
        <v>258</v>
      </c>
      <c r="M94" s="24"/>
      <c r="N94" s="13" t="s">
        <v>259</v>
      </c>
      <c r="O94" s="14"/>
      <c r="P94" s="14"/>
    </row>
    <row r="95" spans="1:16" x14ac:dyDescent="0.2">
      <c r="L95" s="24" t="s">
        <v>260</v>
      </c>
      <c r="M95" s="24"/>
      <c r="N95" s="13" t="s">
        <v>261</v>
      </c>
      <c r="O95" s="14"/>
      <c r="P95" s="14"/>
    </row>
    <row r="96" spans="1:16" x14ac:dyDescent="0.2">
      <c r="L96" s="24" t="s">
        <v>262</v>
      </c>
      <c r="M96" s="24"/>
      <c r="N96" s="13" t="s">
        <v>263</v>
      </c>
      <c r="O96" s="14"/>
      <c r="P96" s="14"/>
    </row>
    <row r="97" spans="12:16" x14ac:dyDescent="0.2">
      <c r="L97" s="24" t="s">
        <v>264</v>
      </c>
      <c r="M97" s="24"/>
      <c r="N97" s="13" t="s">
        <v>265</v>
      </c>
      <c r="O97" s="14"/>
      <c r="P97" s="14"/>
    </row>
    <row r="98" spans="12:16" x14ac:dyDescent="0.2">
      <c r="L98" s="24" t="s">
        <v>266</v>
      </c>
      <c r="M98" s="24"/>
      <c r="N98" s="13" t="s">
        <v>267</v>
      </c>
      <c r="O98" s="14"/>
      <c r="P98" s="14"/>
    </row>
    <row r="99" spans="12:16" ht="14.25" x14ac:dyDescent="0.2">
      <c r="L99" s="15"/>
      <c r="M99" s="15"/>
      <c r="O99" s="16"/>
      <c r="P99" s="16"/>
    </row>
    <row r="100" spans="12:16" ht="14.25" x14ac:dyDescent="0.2">
      <c r="O100" s="16"/>
      <c r="P100" s="16"/>
    </row>
    <row r="101" spans="12:16" ht="14.25" x14ac:dyDescent="0.2">
      <c r="O101" s="16"/>
      <c r="P101" s="16"/>
    </row>
    <row r="102" spans="12:16" ht="14.25" x14ac:dyDescent="0.2">
      <c r="O102" s="16"/>
      <c r="P102" s="16"/>
    </row>
    <row r="103" spans="12:16" ht="14.25" x14ac:dyDescent="0.2">
      <c r="O103" s="16"/>
      <c r="P103" s="16"/>
    </row>
    <row r="104" spans="12:16" ht="14.25" x14ac:dyDescent="0.2">
      <c r="M104" s="17"/>
      <c r="N104" s="17"/>
    </row>
    <row r="105" spans="12:16" ht="14.25" x14ac:dyDescent="0.2">
      <c r="M105" s="17"/>
      <c r="N105" s="17"/>
    </row>
    <row r="106" spans="12:16" ht="14.25" x14ac:dyDescent="0.2">
      <c r="M106" s="16"/>
      <c r="N106" s="17"/>
    </row>
    <row r="107" spans="12:16" ht="14.25" x14ac:dyDescent="0.2">
      <c r="M107" s="16"/>
      <c r="N107" s="17"/>
    </row>
    <row r="108" spans="12:16" ht="14.25" x14ac:dyDescent="0.2">
      <c r="M108" s="16"/>
      <c r="N108" s="16"/>
    </row>
  </sheetData>
  <mergeCells count="9">
    <mergeCell ref="L95:M95"/>
    <mergeCell ref="L96:M96"/>
    <mergeCell ref="L97:M97"/>
    <mergeCell ref="L98:M98"/>
    <mergeCell ref="E1:G1"/>
    <mergeCell ref="H1:J1"/>
    <mergeCell ref="L2:M2"/>
    <mergeCell ref="L93:M93"/>
    <mergeCell ref="L94:M94"/>
  </mergeCells>
  <phoneticPr fontId="9" type="noConversion"/>
  <pageMargins left="0.75" right="0.75" top="1" bottom="1" header="0.5" footer="0.5"/>
  <pageSetup paperSize="9" firstPageNumber="4294963191" orientation="portrait" useFirstPageNumber="1" horizontalDpi="1200" verticalDpi="12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C9"/>
  <sheetViews>
    <sheetView workbookViewId="0">
      <selection sqref="A1:C9"/>
    </sheetView>
  </sheetViews>
  <sheetFormatPr defaultColWidth="9" defaultRowHeight="14.25" x14ac:dyDescent="0.2"/>
  <sheetData>
    <row r="1" spans="1:3" x14ac:dyDescent="0.2">
      <c r="A1" s="1"/>
      <c r="B1" s="1" t="s">
        <v>268</v>
      </c>
      <c r="C1" s="1" t="s">
        <v>192</v>
      </c>
    </row>
    <row r="2" spans="1:3" x14ac:dyDescent="0.2">
      <c r="A2" s="1"/>
      <c r="B2" s="1">
        <v>1</v>
      </c>
      <c r="C2" s="1" t="s">
        <v>269</v>
      </c>
    </row>
    <row r="3" spans="1:3" x14ac:dyDescent="0.2">
      <c r="A3" s="1"/>
      <c r="B3" s="1">
        <v>2</v>
      </c>
      <c r="C3" s="1" t="s">
        <v>270</v>
      </c>
    </row>
    <row r="4" spans="1:3" x14ac:dyDescent="0.2">
      <c r="A4" s="1"/>
      <c r="B4" s="1">
        <v>3</v>
      </c>
      <c r="C4" s="1" t="s">
        <v>271</v>
      </c>
    </row>
    <row r="5" spans="1:3" x14ac:dyDescent="0.2">
      <c r="A5" s="1"/>
      <c r="B5" s="1">
        <v>4</v>
      </c>
      <c r="C5" s="1" t="s">
        <v>272</v>
      </c>
    </row>
    <row r="6" spans="1:3" x14ac:dyDescent="0.2">
      <c r="A6" s="1"/>
      <c r="B6" s="1">
        <v>5</v>
      </c>
      <c r="C6" s="1" t="s">
        <v>273</v>
      </c>
    </row>
    <row r="7" spans="1:3" x14ac:dyDescent="0.2">
      <c r="A7" s="1"/>
      <c r="B7" s="1">
        <v>6</v>
      </c>
      <c r="C7" s="1" t="s">
        <v>274</v>
      </c>
    </row>
    <row r="8" spans="1:3" x14ac:dyDescent="0.2">
      <c r="A8" s="1"/>
      <c r="B8" s="1">
        <v>7</v>
      </c>
      <c r="C8" s="1" t="s">
        <v>275</v>
      </c>
    </row>
    <row r="9" spans="1:3" x14ac:dyDescent="0.2">
      <c r="A9" s="1"/>
      <c r="B9" s="1">
        <v>8</v>
      </c>
      <c r="C9" s="1" t="s">
        <v>276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1578-3972-40D2-BB10-8AC80B939403}">
  <dimension ref="A1:D120"/>
  <sheetViews>
    <sheetView topLeftCell="A97" workbookViewId="0">
      <selection activeCell="B1" sqref="B1:D120"/>
    </sheetView>
  </sheetViews>
  <sheetFormatPr defaultColWidth="9" defaultRowHeight="14.25" x14ac:dyDescent="0.2"/>
  <cols>
    <col min="1" max="16384" width="9" style="20"/>
  </cols>
  <sheetData>
    <row r="1" spans="1:4" x14ac:dyDescent="0.2">
      <c r="A1" s="20">
        <v>1</v>
      </c>
      <c r="B1" s="20" t="s">
        <v>6</v>
      </c>
      <c r="D1" s="20">
        <v>2</v>
      </c>
    </row>
    <row r="2" spans="1:4" x14ac:dyDescent="0.2">
      <c r="A2" s="20">
        <v>2</v>
      </c>
      <c r="B2" s="20" t="s">
        <v>9</v>
      </c>
      <c r="D2" s="20">
        <v>2</v>
      </c>
    </row>
    <row r="3" spans="1:4" x14ac:dyDescent="0.2">
      <c r="A3" s="20">
        <v>3</v>
      </c>
      <c r="B3" s="20" t="s">
        <v>278</v>
      </c>
      <c r="D3" s="20">
        <v>7</v>
      </c>
    </row>
    <row r="4" spans="1:4" x14ac:dyDescent="0.2">
      <c r="A4" s="20">
        <v>4</v>
      </c>
      <c r="B4" s="20" t="s">
        <v>279</v>
      </c>
      <c r="D4" s="20">
        <v>6</v>
      </c>
    </row>
    <row r="5" spans="1:4" x14ac:dyDescent="0.2">
      <c r="A5" s="20">
        <v>5</v>
      </c>
      <c r="B5" s="20" t="s">
        <v>280</v>
      </c>
      <c r="D5" s="20">
        <v>6</v>
      </c>
    </row>
    <row r="6" spans="1:4" x14ac:dyDescent="0.2">
      <c r="A6" s="20">
        <v>6</v>
      </c>
      <c r="B6" s="20" t="s">
        <v>281</v>
      </c>
      <c r="D6" s="20">
        <v>6</v>
      </c>
    </row>
    <row r="7" spans="1:4" x14ac:dyDescent="0.2">
      <c r="A7" s="20">
        <v>7</v>
      </c>
      <c r="B7" s="20" t="s">
        <v>28</v>
      </c>
      <c r="D7" s="20">
        <v>6</v>
      </c>
    </row>
    <row r="8" spans="1:4" x14ac:dyDescent="0.2">
      <c r="A8" s="20">
        <v>8</v>
      </c>
      <c r="B8" s="20" t="s">
        <v>30</v>
      </c>
      <c r="D8" s="20">
        <v>6</v>
      </c>
    </row>
    <row r="9" spans="1:4" x14ac:dyDescent="0.2">
      <c r="A9" s="20">
        <v>9</v>
      </c>
      <c r="B9" s="20" t="s">
        <v>32</v>
      </c>
      <c r="D9" s="20">
        <v>6</v>
      </c>
    </row>
    <row r="10" spans="1:4" x14ac:dyDescent="0.2">
      <c r="A10" s="20">
        <v>10</v>
      </c>
      <c r="B10" s="20" t="s">
        <v>34</v>
      </c>
      <c r="D10" s="20">
        <v>6</v>
      </c>
    </row>
    <row r="11" spans="1:4" x14ac:dyDescent="0.2">
      <c r="A11" s="20">
        <v>11</v>
      </c>
      <c r="B11" s="20" t="s">
        <v>282</v>
      </c>
      <c r="D11" s="20">
        <v>7</v>
      </c>
    </row>
    <row r="12" spans="1:4" x14ac:dyDescent="0.2">
      <c r="A12" s="20">
        <v>12</v>
      </c>
      <c r="B12" s="20" t="s">
        <v>283</v>
      </c>
      <c r="D12" s="20">
        <v>7</v>
      </c>
    </row>
    <row r="13" spans="1:4" x14ac:dyDescent="0.2">
      <c r="A13" s="20">
        <v>13</v>
      </c>
      <c r="B13" s="20" t="s">
        <v>40</v>
      </c>
      <c r="D13" s="20">
        <v>2</v>
      </c>
    </row>
    <row r="14" spans="1:4" x14ac:dyDescent="0.2">
      <c r="A14" s="20">
        <v>14</v>
      </c>
      <c r="B14" s="20" t="s">
        <v>42</v>
      </c>
      <c r="D14" s="20">
        <v>2</v>
      </c>
    </row>
    <row r="15" spans="1:4" x14ac:dyDescent="0.2">
      <c r="A15" s="20">
        <v>15</v>
      </c>
      <c r="B15" s="20" t="s">
        <v>44</v>
      </c>
      <c r="D15" s="20">
        <v>4</v>
      </c>
    </row>
    <row r="16" spans="1:4" x14ac:dyDescent="0.2">
      <c r="A16" s="20">
        <v>16</v>
      </c>
      <c r="B16" s="20" t="s">
        <v>46</v>
      </c>
      <c r="D16" s="20">
        <v>2</v>
      </c>
    </row>
    <row r="17" spans="1:4" x14ac:dyDescent="0.2">
      <c r="A17" s="20">
        <v>17</v>
      </c>
      <c r="B17" s="20" t="s">
        <v>48</v>
      </c>
      <c r="D17" s="20">
        <v>5</v>
      </c>
    </row>
    <row r="18" spans="1:4" x14ac:dyDescent="0.2">
      <c r="A18" s="20">
        <v>18</v>
      </c>
      <c r="B18" s="20" t="s">
        <v>50</v>
      </c>
      <c r="D18" s="20">
        <v>5</v>
      </c>
    </row>
    <row r="19" spans="1:4" x14ac:dyDescent="0.2">
      <c r="A19" s="20">
        <v>19</v>
      </c>
      <c r="B19" s="20" t="s">
        <v>52</v>
      </c>
      <c r="D19" s="20">
        <v>7</v>
      </c>
    </row>
    <row r="20" spans="1:4" x14ac:dyDescent="0.2">
      <c r="A20" s="20">
        <v>20</v>
      </c>
      <c r="B20" s="20" t="s">
        <v>54</v>
      </c>
      <c r="D20" s="20">
        <v>7</v>
      </c>
    </row>
    <row r="21" spans="1:4" x14ac:dyDescent="0.2">
      <c r="A21" s="20">
        <v>21</v>
      </c>
      <c r="B21" s="20" t="s">
        <v>56</v>
      </c>
      <c r="D21" s="20">
        <v>7</v>
      </c>
    </row>
    <row r="22" spans="1:4" x14ac:dyDescent="0.2">
      <c r="A22" s="20">
        <v>22</v>
      </c>
      <c r="B22" s="20" t="s">
        <v>58</v>
      </c>
      <c r="D22" s="20">
        <v>7</v>
      </c>
    </row>
    <row r="23" spans="1:4" x14ac:dyDescent="0.2">
      <c r="A23" s="20">
        <v>23</v>
      </c>
      <c r="B23" s="20" t="s">
        <v>60</v>
      </c>
      <c r="D23" s="20">
        <v>5</v>
      </c>
    </row>
    <row r="24" spans="1:4" x14ac:dyDescent="0.2">
      <c r="A24" s="20">
        <v>24</v>
      </c>
      <c r="B24" s="21" t="s">
        <v>284</v>
      </c>
      <c r="D24" s="20">
        <v>5</v>
      </c>
    </row>
    <row r="25" spans="1:4" x14ac:dyDescent="0.2">
      <c r="A25" s="20">
        <v>25</v>
      </c>
      <c r="B25" s="20" t="s">
        <v>285</v>
      </c>
      <c r="D25" s="20">
        <v>5</v>
      </c>
    </row>
    <row r="26" spans="1:4" x14ac:dyDescent="0.2">
      <c r="A26" s="20">
        <v>26</v>
      </c>
      <c r="B26" s="20" t="s">
        <v>286</v>
      </c>
      <c r="D26" s="20">
        <v>5</v>
      </c>
    </row>
    <row r="27" spans="1:4" x14ac:dyDescent="0.2">
      <c r="A27" s="20">
        <v>27</v>
      </c>
      <c r="B27" s="20" t="s">
        <v>287</v>
      </c>
      <c r="D27" s="20">
        <v>5</v>
      </c>
    </row>
    <row r="28" spans="1:4" x14ac:dyDescent="0.2">
      <c r="A28" s="20">
        <v>28</v>
      </c>
      <c r="B28" s="20" t="s">
        <v>288</v>
      </c>
      <c r="D28" s="20">
        <v>6</v>
      </c>
    </row>
    <row r="29" spans="1:4" x14ac:dyDescent="0.2">
      <c r="A29" s="20">
        <v>29</v>
      </c>
      <c r="B29" s="20" t="s">
        <v>289</v>
      </c>
      <c r="D29" s="20">
        <v>5</v>
      </c>
    </row>
    <row r="30" spans="1:4" x14ac:dyDescent="0.2">
      <c r="A30" s="20">
        <v>30</v>
      </c>
      <c r="B30" s="20" t="s">
        <v>290</v>
      </c>
      <c r="D30" s="20">
        <v>5</v>
      </c>
    </row>
    <row r="31" spans="1:4" x14ac:dyDescent="0.2">
      <c r="A31" s="20">
        <v>31</v>
      </c>
      <c r="B31" s="20" t="s">
        <v>291</v>
      </c>
      <c r="D31" s="20">
        <v>7</v>
      </c>
    </row>
    <row r="32" spans="1:4" x14ac:dyDescent="0.2">
      <c r="A32" s="20">
        <v>32</v>
      </c>
      <c r="B32" s="20" t="s">
        <v>292</v>
      </c>
      <c r="D32" s="20">
        <v>7</v>
      </c>
    </row>
    <row r="33" spans="1:4" x14ac:dyDescent="0.2">
      <c r="A33" s="20">
        <v>33</v>
      </c>
      <c r="B33" s="20" t="s">
        <v>64</v>
      </c>
      <c r="D33" s="20">
        <v>4</v>
      </c>
    </row>
    <row r="34" spans="1:4" x14ac:dyDescent="0.2">
      <c r="A34" s="20">
        <v>34</v>
      </c>
      <c r="B34" s="20" t="s">
        <v>67</v>
      </c>
      <c r="D34" s="20">
        <v>4</v>
      </c>
    </row>
    <row r="35" spans="1:4" x14ac:dyDescent="0.2">
      <c r="A35" s="20">
        <v>35</v>
      </c>
      <c r="B35" s="20" t="s">
        <v>293</v>
      </c>
      <c r="D35" s="20">
        <v>7</v>
      </c>
    </row>
    <row r="36" spans="1:4" x14ac:dyDescent="0.2">
      <c r="A36" s="20">
        <v>36</v>
      </c>
      <c r="B36" s="20" t="s">
        <v>294</v>
      </c>
      <c r="D36" s="20">
        <v>7</v>
      </c>
    </row>
    <row r="37" spans="1:4" x14ac:dyDescent="0.2">
      <c r="A37" s="20">
        <v>37</v>
      </c>
      <c r="B37" s="20" t="s">
        <v>295</v>
      </c>
      <c r="D37" s="20">
        <v>4</v>
      </c>
    </row>
    <row r="38" spans="1:4" x14ac:dyDescent="0.2">
      <c r="A38" s="20">
        <v>38</v>
      </c>
      <c r="B38" s="20" t="s">
        <v>296</v>
      </c>
      <c r="D38" s="20">
        <v>4</v>
      </c>
    </row>
    <row r="39" spans="1:4" x14ac:dyDescent="0.2">
      <c r="A39" s="20">
        <v>39</v>
      </c>
      <c r="B39" s="20" t="s">
        <v>297</v>
      </c>
      <c r="D39" s="20">
        <v>7</v>
      </c>
    </row>
    <row r="40" spans="1:4" x14ac:dyDescent="0.2">
      <c r="A40" s="20">
        <v>40</v>
      </c>
      <c r="B40" s="20" t="s">
        <v>298</v>
      </c>
      <c r="D40" s="20">
        <v>7</v>
      </c>
    </row>
    <row r="41" spans="1:4" x14ac:dyDescent="0.2">
      <c r="A41" s="20">
        <v>41</v>
      </c>
      <c r="B41" s="20" t="s">
        <v>82</v>
      </c>
      <c r="D41" s="20">
        <v>8</v>
      </c>
    </row>
    <row r="42" spans="1:4" x14ac:dyDescent="0.2">
      <c r="A42" s="20">
        <v>42</v>
      </c>
      <c r="B42" s="20" t="s">
        <v>85</v>
      </c>
      <c r="D42" s="20">
        <v>8</v>
      </c>
    </row>
    <row r="43" spans="1:4" x14ac:dyDescent="0.2">
      <c r="A43" s="20">
        <v>43</v>
      </c>
      <c r="B43" s="20" t="s">
        <v>87</v>
      </c>
      <c r="D43" s="20">
        <v>5</v>
      </c>
    </row>
    <row r="44" spans="1:4" x14ac:dyDescent="0.2">
      <c r="A44" s="20">
        <v>44</v>
      </c>
      <c r="B44" s="20" t="s">
        <v>89</v>
      </c>
      <c r="D44" s="20">
        <v>5</v>
      </c>
    </row>
    <row r="45" spans="1:4" x14ac:dyDescent="0.2">
      <c r="A45" s="20">
        <v>45</v>
      </c>
      <c r="B45" s="20" t="s">
        <v>91</v>
      </c>
      <c r="D45" s="20">
        <v>8</v>
      </c>
    </row>
    <row r="46" spans="1:4" x14ac:dyDescent="0.2">
      <c r="A46" s="20">
        <v>46</v>
      </c>
      <c r="B46" s="20" t="s">
        <v>93</v>
      </c>
      <c r="D46" s="20">
        <v>8</v>
      </c>
    </row>
    <row r="47" spans="1:4" x14ac:dyDescent="0.2">
      <c r="A47" s="20">
        <v>47</v>
      </c>
      <c r="B47" s="21" t="s">
        <v>299</v>
      </c>
      <c r="D47" s="20">
        <v>1</v>
      </c>
    </row>
    <row r="48" spans="1:4" x14ac:dyDescent="0.2">
      <c r="A48" s="20">
        <v>48</v>
      </c>
      <c r="B48" s="20" t="s">
        <v>98</v>
      </c>
      <c r="D48" s="20">
        <v>1</v>
      </c>
    </row>
    <row r="49" spans="1:4" x14ac:dyDescent="0.2">
      <c r="A49" s="20">
        <v>49</v>
      </c>
      <c r="B49" s="20" t="s">
        <v>100</v>
      </c>
      <c r="D49" s="20">
        <v>1</v>
      </c>
    </row>
    <row r="50" spans="1:4" x14ac:dyDescent="0.2">
      <c r="A50" s="20">
        <v>50</v>
      </c>
      <c r="B50" s="20" t="s">
        <v>102</v>
      </c>
      <c r="D50" s="20">
        <v>1</v>
      </c>
    </row>
    <row r="51" spans="1:4" x14ac:dyDescent="0.2">
      <c r="A51" s="20">
        <v>51</v>
      </c>
      <c r="B51" s="20" t="s">
        <v>104</v>
      </c>
      <c r="D51" s="20">
        <v>1</v>
      </c>
    </row>
    <row r="52" spans="1:4" x14ac:dyDescent="0.2">
      <c r="A52" s="20">
        <v>52</v>
      </c>
      <c r="B52" s="20" t="s">
        <v>106</v>
      </c>
      <c r="D52" s="20">
        <v>1</v>
      </c>
    </row>
    <row r="53" spans="1:4" x14ac:dyDescent="0.2">
      <c r="A53" s="20">
        <v>53</v>
      </c>
      <c r="B53" s="20" t="s">
        <v>108</v>
      </c>
      <c r="D53" s="20">
        <v>1</v>
      </c>
    </row>
    <row r="54" spans="1:4" x14ac:dyDescent="0.2">
      <c r="A54" s="20">
        <v>54</v>
      </c>
      <c r="B54" s="20" t="s">
        <v>110</v>
      </c>
      <c r="D54" s="20">
        <v>1</v>
      </c>
    </row>
    <row r="55" spans="1:4" x14ac:dyDescent="0.2">
      <c r="A55" s="20">
        <v>55</v>
      </c>
      <c r="B55" s="20" t="s">
        <v>112</v>
      </c>
      <c r="D55" s="20">
        <v>1</v>
      </c>
    </row>
    <row r="56" spans="1:4" x14ac:dyDescent="0.2">
      <c r="A56" s="20">
        <v>56</v>
      </c>
      <c r="B56" s="20" t="s">
        <v>114</v>
      </c>
      <c r="D56" s="20">
        <v>1</v>
      </c>
    </row>
    <row r="57" spans="1:4" x14ac:dyDescent="0.2">
      <c r="A57" s="20">
        <v>57</v>
      </c>
      <c r="B57" s="20" t="s">
        <v>116</v>
      </c>
      <c r="D57" s="20">
        <v>1</v>
      </c>
    </row>
    <row r="58" spans="1:4" x14ac:dyDescent="0.2">
      <c r="A58" s="20">
        <v>58</v>
      </c>
      <c r="B58" s="20" t="s">
        <v>118</v>
      </c>
      <c r="D58" s="20">
        <v>1</v>
      </c>
    </row>
    <row r="59" spans="1:4" x14ac:dyDescent="0.2">
      <c r="A59" s="20">
        <v>59</v>
      </c>
      <c r="B59" s="20" t="s">
        <v>120</v>
      </c>
      <c r="D59" s="20">
        <v>1</v>
      </c>
    </row>
    <row r="60" spans="1:4" x14ac:dyDescent="0.2">
      <c r="A60" s="20">
        <v>60</v>
      </c>
      <c r="B60" s="20" t="s">
        <v>122</v>
      </c>
      <c r="D60" s="20">
        <v>1</v>
      </c>
    </row>
    <row r="61" spans="1:4" x14ac:dyDescent="0.2">
      <c r="A61" s="20">
        <v>61</v>
      </c>
      <c r="B61" s="20" t="s">
        <v>124</v>
      </c>
      <c r="D61" s="20">
        <v>2</v>
      </c>
    </row>
    <row r="62" spans="1:4" x14ac:dyDescent="0.2">
      <c r="A62" s="20">
        <v>62</v>
      </c>
      <c r="B62" s="20" t="s">
        <v>126</v>
      </c>
      <c r="D62" s="20">
        <v>2</v>
      </c>
    </row>
    <row r="63" spans="1:4" x14ac:dyDescent="0.2">
      <c r="A63" s="20">
        <v>63</v>
      </c>
      <c r="B63" s="20" t="s">
        <v>128</v>
      </c>
      <c r="D63" s="20">
        <v>3</v>
      </c>
    </row>
    <row r="64" spans="1:4" x14ac:dyDescent="0.2">
      <c r="A64" s="20">
        <v>64</v>
      </c>
      <c r="B64" s="20" t="s">
        <v>130</v>
      </c>
      <c r="D64" s="20">
        <v>3</v>
      </c>
    </row>
    <row r="65" spans="1:4" x14ac:dyDescent="0.2">
      <c r="A65" s="20">
        <v>65</v>
      </c>
      <c r="B65" s="20" t="s">
        <v>132</v>
      </c>
      <c r="D65" s="20">
        <v>6</v>
      </c>
    </row>
    <row r="66" spans="1:4" x14ac:dyDescent="0.2">
      <c r="A66" s="20">
        <v>66</v>
      </c>
      <c r="B66" s="20" t="s">
        <v>134</v>
      </c>
      <c r="D66" s="20">
        <v>6</v>
      </c>
    </row>
    <row r="67" spans="1:4" x14ac:dyDescent="0.2">
      <c r="A67" s="20">
        <v>67</v>
      </c>
      <c r="B67" s="20" t="s">
        <v>136</v>
      </c>
      <c r="D67" s="20">
        <v>4</v>
      </c>
    </row>
    <row r="68" spans="1:4" x14ac:dyDescent="0.2">
      <c r="A68" s="20">
        <v>68</v>
      </c>
      <c r="B68" s="20" t="s">
        <v>138</v>
      </c>
      <c r="D68" s="20">
        <v>4</v>
      </c>
    </row>
    <row r="69" spans="1:4" x14ac:dyDescent="0.2">
      <c r="A69" s="20">
        <v>69</v>
      </c>
      <c r="B69" s="20" t="s">
        <v>140</v>
      </c>
      <c r="D69" s="20">
        <v>7</v>
      </c>
    </row>
    <row r="70" spans="1:4" x14ac:dyDescent="0.2">
      <c r="A70" s="20">
        <v>70</v>
      </c>
      <c r="B70" s="20" t="s">
        <v>142</v>
      </c>
      <c r="D70" s="20">
        <v>7</v>
      </c>
    </row>
    <row r="71" spans="1:4" x14ac:dyDescent="0.2">
      <c r="A71" s="20">
        <v>71</v>
      </c>
      <c r="B71" s="20" t="s">
        <v>144</v>
      </c>
      <c r="D71" s="20">
        <v>7</v>
      </c>
    </row>
    <row r="72" spans="1:4" x14ac:dyDescent="0.2">
      <c r="A72" s="20">
        <v>72</v>
      </c>
      <c r="B72" s="20" t="s">
        <v>146</v>
      </c>
      <c r="D72" s="20">
        <v>7</v>
      </c>
    </row>
    <row r="73" spans="1:4" x14ac:dyDescent="0.2">
      <c r="A73" s="20">
        <v>73</v>
      </c>
      <c r="B73" s="20" t="s">
        <v>148</v>
      </c>
      <c r="D73" s="20">
        <v>2</v>
      </c>
    </row>
    <row r="74" spans="1:4" x14ac:dyDescent="0.2">
      <c r="A74" s="20">
        <v>74</v>
      </c>
      <c r="B74" s="20" t="s">
        <v>150</v>
      </c>
      <c r="D74" s="20">
        <v>2</v>
      </c>
    </row>
    <row r="75" spans="1:4" x14ac:dyDescent="0.2">
      <c r="A75" s="20">
        <v>75</v>
      </c>
      <c r="B75" s="21" t="s">
        <v>300</v>
      </c>
      <c r="D75" s="20">
        <v>8</v>
      </c>
    </row>
    <row r="76" spans="1:4" x14ac:dyDescent="0.2">
      <c r="A76" s="20">
        <v>76</v>
      </c>
      <c r="B76" s="20" t="s">
        <v>154</v>
      </c>
      <c r="D76" s="20">
        <v>8</v>
      </c>
    </row>
    <row r="77" spans="1:4" x14ac:dyDescent="0.2">
      <c r="A77" s="20">
        <v>77</v>
      </c>
      <c r="B77" s="20" t="s">
        <v>156</v>
      </c>
      <c r="D77" s="20">
        <v>8</v>
      </c>
    </row>
    <row r="78" spans="1:4" x14ac:dyDescent="0.2">
      <c r="A78" s="20">
        <v>78</v>
      </c>
      <c r="B78" s="20" t="s">
        <v>158</v>
      </c>
      <c r="D78" s="20">
        <v>8</v>
      </c>
    </row>
    <row r="79" spans="1:4" x14ac:dyDescent="0.2">
      <c r="A79" s="20">
        <v>79</v>
      </c>
      <c r="B79" s="20" t="s">
        <v>160</v>
      </c>
      <c r="D79" s="20">
        <v>8</v>
      </c>
    </row>
    <row r="80" spans="1:4" x14ac:dyDescent="0.2">
      <c r="A80" s="20">
        <v>80</v>
      </c>
      <c r="B80" s="20" t="s">
        <v>162</v>
      </c>
      <c r="D80" s="20">
        <v>8</v>
      </c>
    </row>
    <row r="81" spans="1:4" x14ac:dyDescent="0.2">
      <c r="A81" s="20">
        <v>81</v>
      </c>
      <c r="B81" s="20" t="s">
        <v>164</v>
      </c>
      <c r="D81" s="20">
        <v>8</v>
      </c>
    </row>
    <row r="82" spans="1:4" x14ac:dyDescent="0.2">
      <c r="A82" s="20">
        <v>82</v>
      </c>
      <c r="B82" s="20" t="s">
        <v>166</v>
      </c>
      <c r="D82" s="20">
        <v>8</v>
      </c>
    </row>
    <row r="83" spans="1:4" x14ac:dyDescent="0.2">
      <c r="A83" s="20">
        <v>83</v>
      </c>
      <c r="B83" s="21" t="s">
        <v>301</v>
      </c>
      <c r="D83" s="20">
        <v>2</v>
      </c>
    </row>
    <row r="84" spans="1:4" x14ac:dyDescent="0.2">
      <c r="A84" s="20">
        <v>84</v>
      </c>
      <c r="B84" s="20" t="s">
        <v>170</v>
      </c>
      <c r="D84" s="20">
        <v>2</v>
      </c>
    </row>
    <row r="85" spans="1:4" x14ac:dyDescent="0.2">
      <c r="A85" s="20">
        <v>85</v>
      </c>
      <c r="B85" s="20" t="s">
        <v>172</v>
      </c>
      <c r="D85" s="20">
        <v>2</v>
      </c>
    </row>
    <row r="86" spans="1:4" x14ac:dyDescent="0.2">
      <c r="A86" s="20">
        <v>86</v>
      </c>
      <c r="B86" s="20" t="s">
        <v>174</v>
      </c>
      <c r="D86" s="20">
        <v>2</v>
      </c>
    </row>
    <row r="87" spans="1:4" x14ac:dyDescent="0.2">
      <c r="A87" s="20">
        <v>87</v>
      </c>
      <c r="B87" s="20" t="s">
        <v>176</v>
      </c>
      <c r="D87" s="20">
        <v>5</v>
      </c>
    </row>
    <row r="88" spans="1:4" x14ac:dyDescent="0.2">
      <c r="A88" s="20">
        <v>88</v>
      </c>
      <c r="B88" s="20" t="s">
        <v>178</v>
      </c>
      <c r="D88" s="20">
        <v>5</v>
      </c>
    </row>
    <row r="89" spans="1:4" x14ac:dyDescent="0.2">
      <c r="A89" s="20">
        <v>89</v>
      </c>
      <c r="B89" s="20" t="s">
        <v>180</v>
      </c>
      <c r="D89" s="20">
        <v>7</v>
      </c>
    </row>
    <row r="90" spans="1:4" x14ac:dyDescent="0.2">
      <c r="A90" s="20">
        <v>90</v>
      </c>
      <c r="B90" s="20" t="s">
        <v>182</v>
      </c>
      <c r="D90" s="20">
        <v>7</v>
      </c>
    </row>
    <row r="91" spans="1:4" x14ac:dyDescent="0.2">
      <c r="A91" s="20">
        <v>91</v>
      </c>
      <c r="B91" s="20" t="s">
        <v>184</v>
      </c>
      <c r="D91" s="20">
        <v>5</v>
      </c>
    </row>
    <row r="92" spans="1:4" x14ac:dyDescent="0.2">
      <c r="A92" s="20">
        <v>92</v>
      </c>
      <c r="B92" s="20" t="s">
        <v>186</v>
      </c>
      <c r="D92" s="20">
        <v>5</v>
      </c>
    </row>
    <row r="93" spans="1:4" x14ac:dyDescent="0.2">
      <c r="A93" s="20">
        <v>93</v>
      </c>
      <c r="B93" s="20" t="s">
        <v>188</v>
      </c>
      <c r="D93" s="20">
        <v>5</v>
      </c>
    </row>
    <row r="94" spans="1:4" x14ac:dyDescent="0.2">
      <c r="A94" s="20">
        <v>94</v>
      </c>
      <c r="B94" s="20" t="s">
        <v>190</v>
      </c>
      <c r="D94" s="20">
        <v>5</v>
      </c>
    </row>
    <row r="95" spans="1:4" x14ac:dyDescent="0.2">
      <c r="A95" s="20">
        <v>95</v>
      </c>
      <c r="B95" s="20" t="s">
        <v>302</v>
      </c>
      <c r="D95" s="20">
        <v>9</v>
      </c>
    </row>
    <row r="96" spans="1:4" x14ac:dyDescent="0.2">
      <c r="A96" s="20">
        <v>96</v>
      </c>
      <c r="B96" s="20" t="s">
        <v>303</v>
      </c>
      <c r="D96" s="20">
        <v>9</v>
      </c>
    </row>
    <row r="97" spans="1:4" x14ac:dyDescent="0.2">
      <c r="A97" s="20">
        <v>97</v>
      </c>
      <c r="B97" s="20" t="s">
        <v>304</v>
      </c>
      <c r="D97" s="20">
        <v>9</v>
      </c>
    </row>
    <row r="98" spans="1:4" x14ac:dyDescent="0.2">
      <c r="A98" s="20">
        <v>98</v>
      </c>
      <c r="B98" s="20" t="s">
        <v>305</v>
      </c>
      <c r="D98" s="20">
        <v>9</v>
      </c>
    </row>
    <row r="99" spans="1:4" x14ac:dyDescent="0.2">
      <c r="A99" s="20">
        <v>99</v>
      </c>
      <c r="B99" s="20" t="s">
        <v>306</v>
      </c>
      <c r="D99" s="20">
        <v>9</v>
      </c>
    </row>
    <row r="100" spans="1:4" x14ac:dyDescent="0.2">
      <c r="A100" s="20">
        <v>100</v>
      </c>
      <c r="B100" s="20" t="s">
        <v>307</v>
      </c>
      <c r="D100" s="20">
        <v>9</v>
      </c>
    </row>
    <row r="101" spans="1:4" x14ac:dyDescent="0.2">
      <c r="A101" s="20">
        <v>101</v>
      </c>
      <c r="B101" s="20" t="s">
        <v>308</v>
      </c>
      <c r="D101" s="20">
        <v>9</v>
      </c>
    </row>
    <row r="102" spans="1:4" x14ac:dyDescent="0.2">
      <c r="A102" s="20">
        <v>102</v>
      </c>
      <c r="B102" s="20" t="s">
        <v>309</v>
      </c>
      <c r="D102" s="20">
        <v>9</v>
      </c>
    </row>
    <row r="103" spans="1:4" x14ac:dyDescent="0.2">
      <c r="A103" s="20">
        <v>103</v>
      </c>
      <c r="B103" s="20" t="s">
        <v>310</v>
      </c>
      <c r="D103" s="20">
        <v>9</v>
      </c>
    </row>
    <row r="104" spans="1:4" x14ac:dyDescent="0.2">
      <c r="A104" s="20">
        <v>104</v>
      </c>
      <c r="B104" s="20" t="s">
        <v>311</v>
      </c>
      <c r="D104" s="20">
        <v>9</v>
      </c>
    </row>
    <row r="105" spans="1:4" x14ac:dyDescent="0.2">
      <c r="A105" s="20">
        <v>105</v>
      </c>
      <c r="B105" s="20" t="s">
        <v>312</v>
      </c>
      <c r="D105" s="20">
        <v>9</v>
      </c>
    </row>
    <row r="106" spans="1:4" x14ac:dyDescent="0.2">
      <c r="A106" s="20">
        <v>106</v>
      </c>
      <c r="B106" s="20" t="s">
        <v>313</v>
      </c>
      <c r="D106" s="20">
        <v>9</v>
      </c>
    </row>
    <row r="107" spans="1:4" x14ac:dyDescent="0.2">
      <c r="A107" s="20">
        <v>107</v>
      </c>
      <c r="B107" s="20" t="s">
        <v>314</v>
      </c>
      <c r="D107" s="20">
        <v>9</v>
      </c>
    </row>
    <row r="108" spans="1:4" x14ac:dyDescent="0.2">
      <c r="A108" s="20">
        <v>108</v>
      </c>
      <c r="B108" s="20" t="s">
        <v>315</v>
      </c>
      <c r="D108" s="20">
        <v>9</v>
      </c>
    </row>
    <row r="109" spans="1:4" x14ac:dyDescent="0.2">
      <c r="A109" s="20">
        <v>109</v>
      </c>
      <c r="B109" s="20" t="s">
        <v>316</v>
      </c>
      <c r="D109" s="20">
        <v>9</v>
      </c>
    </row>
    <row r="110" spans="1:4" x14ac:dyDescent="0.2">
      <c r="A110" s="20">
        <v>110</v>
      </c>
      <c r="B110" s="20" t="s">
        <v>317</v>
      </c>
      <c r="D110" s="20">
        <v>9</v>
      </c>
    </row>
    <row r="111" spans="1:4" x14ac:dyDescent="0.2">
      <c r="A111" s="20">
        <v>111</v>
      </c>
      <c r="B111" s="20" t="s">
        <v>318</v>
      </c>
      <c r="D111" s="20">
        <v>9</v>
      </c>
    </row>
    <row r="112" spans="1:4" x14ac:dyDescent="0.2">
      <c r="A112" s="20">
        <v>112</v>
      </c>
      <c r="B112" s="20" t="s">
        <v>319</v>
      </c>
      <c r="D112" s="20">
        <v>9</v>
      </c>
    </row>
    <row r="113" spans="1:4" x14ac:dyDescent="0.2">
      <c r="A113" s="20">
        <v>113</v>
      </c>
      <c r="B113" s="20" t="s">
        <v>320</v>
      </c>
      <c r="D113" s="20">
        <v>9</v>
      </c>
    </row>
    <row r="114" spans="1:4" x14ac:dyDescent="0.2">
      <c r="A114" s="20">
        <v>114</v>
      </c>
      <c r="B114" s="20" t="s">
        <v>321</v>
      </c>
      <c r="D114" s="20">
        <v>9</v>
      </c>
    </row>
    <row r="115" spans="1:4" x14ac:dyDescent="0.2">
      <c r="A115" s="20">
        <v>115</v>
      </c>
      <c r="B115" s="20" t="s">
        <v>322</v>
      </c>
      <c r="D115" s="20">
        <v>9</v>
      </c>
    </row>
    <row r="116" spans="1:4" x14ac:dyDescent="0.2">
      <c r="A116" s="20">
        <v>116</v>
      </c>
      <c r="B116" s="20" t="s">
        <v>323</v>
      </c>
      <c r="D116" s="20">
        <v>9</v>
      </c>
    </row>
    <row r="117" spans="1:4" x14ac:dyDescent="0.2">
      <c r="A117" s="20">
        <v>117</v>
      </c>
      <c r="B117" s="20" t="s">
        <v>324</v>
      </c>
      <c r="D117" s="20">
        <v>9</v>
      </c>
    </row>
    <row r="118" spans="1:4" x14ac:dyDescent="0.2">
      <c r="A118" s="20">
        <v>118</v>
      </c>
      <c r="B118" s="20" t="s">
        <v>325</v>
      </c>
      <c r="D118" s="20">
        <v>9</v>
      </c>
    </row>
    <row r="119" spans="1:4" x14ac:dyDescent="0.2">
      <c r="A119" s="20">
        <v>119</v>
      </c>
      <c r="B119" s="20" t="s">
        <v>326</v>
      </c>
      <c r="D119" s="20">
        <v>9</v>
      </c>
    </row>
    <row r="120" spans="1:4" x14ac:dyDescent="0.2">
      <c r="A120" s="20">
        <v>120</v>
      </c>
      <c r="B120" s="20" t="s">
        <v>327</v>
      </c>
      <c r="D120" s="20">
        <v>9</v>
      </c>
    </row>
  </sheetData>
  <phoneticPr fontId="9" type="noConversion"/>
  <pageMargins left="0.75" right="0.75" top="1" bottom="1" header="0.51180555555555596" footer="0.51180555555555596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0222-CC35-4841-946F-27ABAC4C278F}">
  <dimension ref="A1:H10"/>
  <sheetViews>
    <sheetView workbookViewId="0">
      <selection activeCell="G1" sqref="G1:G1048576"/>
    </sheetView>
  </sheetViews>
  <sheetFormatPr defaultRowHeight="14.25" x14ac:dyDescent="0.2"/>
  <cols>
    <col min="1" max="5" width="9" style="20"/>
    <col min="8" max="8" width="36.875" customWidth="1"/>
    <col min="9" max="16384" width="9" style="20"/>
  </cols>
  <sheetData>
    <row r="1" spans="1:8" x14ac:dyDescent="0.2">
      <c r="A1" s="20">
        <v>1</v>
      </c>
      <c r="B1" s="21" t="s">
        <v>328</v>
      </c>
    </row>
    <row r="2" spans="1:8" x14ac:dyDescent="0.2">
      <c r="A2" s="20">
        <v>2</v>
      </c>
      <c r="B2" s="21" t="s">
        <v>329</v>
      </c>
      <c r="F2">
        <v>1</v>
      </c>
      <c r="G2" s="19" t="s">
        <v>328</v>
      </c>
    </row>
    <row r="3" spans="1:8" x14ac:dyDescent="0.2">
      <c r="A3" s="20">
        <v>3</v>
      </c>
      <c r="B3" s="21" t="s">
        <v>330</v>
      </c>
      <c r="F3">
        <v>2</v>
      </c>
      <c r="G3" s="19" t="s">
        <v>329</v>
      </c>
    </row>
    <row r="4" spans="1:8" x14ac:dyDescent="0.2">
      <c r="A4" s="20">
        <v>4</v>
      </c>
      <c r="B4" s="21" t="s">
        <v>331</v>
      </c>
      <c r="F4">
        <v>3</v>
      </c>
      <c r="G4" s="19" t="s">
        <v>330</v>
      </c>
      <c r="H4" s="22" t="s">
        <v>345</v>
      </c>
    </row>
    <row r="5" spans="1:8" x14ac:dyDescent="0.2">
      <c r="A5" s="20">
        <v>5</v>
      </c>
      <c r="B5" s="21" t="s">
        <v>332</v>
      </c>
      <c r="F5">
        <v>4</v>
      </c>
      <c r="G5" s="19" t="s">
        <v>331</v>
      </c>
      <c r="H5" s="23"/>
    </row>
    <row r="6" spans="1:8" x14ac:dyDescent="0.2">
      <c r="A6" s="20">
        <v>6</v>
      </c>
      <c r="B6" s="21" t="s">
        <v>333</v>
      </c>
      <c r="F6">
        <v>5</v>
      </c>
      <c r="G6" s="19" t="s">
        <v>332</v>
      </c>
    </row>
    <row r="7" spans="1:8" x14ac:dyDescent="0.2">
      <c r="A7" s="20">
        <v>7</v>
      </c>
      <c r="B7" s="21" t="s">
        <v>334</v>
      </c>
      <c r="F7">
        <v>6</v>
      </c>
      <c r="G7" s="19" t="s">
        <v>333</v>
      </c>
    </row>
    <row r="8" spans="1:8" x14ac:dyDescent="0.2">
      <c r="A8" s="20">
        <v>8</v>
      </c>
      <c r="B8" s="21" t="s">
        <v>335</v>
      </c>
      <c r="F8">
        <v>7</v>
      </c>
      <c r="G8" s="19" t="s">
        <v>334</v>
      </c>
    </row>
    <row r="9" spans="1:8" x14ac:dyDescent="0.2">
      <c r="A9" s="20">
        <v>9</v>
      </c>
      <c r="B9" s="21" t="s">
        <v>336</v>
      </c>
      <c r="F9">
        <v>8</v>
      </c>
      <c r="G9" s="19" t="s">
        <v>340</v>
      </c>
    </row>
    <row r="10" spans="1:8" x14ac:dyDescent="0.2">
      <c r="F10">
        <v>9</v>
      </c>
      <c r="G10" s="19" t="s">
        <v>336</v>
      </c>
    </row>
  </sheetData>
  <mergeCells count="1">
    <mergeCell ref="H4:H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Name</vt:lpstr>
      <vt:lpstr>Sheet1</vt:lpstr>
      <vt:lpstr>AAL90 Info</vt:lpstr>
      <vt:lpstr>NetInfo</vt:lpstr>
      <vt:lpstr>aal2.nii</vt:lpstr>
      <vt:lpstr>networkname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林李泽强</dc:creator>
  <cp:lastModifiedBy>林李泽强</cp:lastModifiedBy>
  <dcterms:created xsi:type="dcterms:W3CDTF">2024-04-27T09:24:00Z</dcterms:created>
  <dcterms:modified xsi:type="dcterms:W3CDTF">2024-12-12T08:32:43Z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675B5F321B6B4B7EAAF0DC1540FFC65A_12</vt:lpwstr>
  </property>
  <property fmtid="{D5CDD505-2E9C-101B-9397-08002B2CF9AE}" pid="3" name="KSOProductBuildVer">
    <vt:lpwstr>2052-12.1.0.17147</vt:lpwstr>
  </property>
</Properties>
</file>